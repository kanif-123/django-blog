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4CF070F0-515B-45A7-BEE7-61D3DE06EF6A}" xr6:coauthVersionLast="47" xr6:coauthVersionMax="47" xr10:uidLastSave="{00000000-0000-0000-0000-000000000000}"/>
  <bookViews>
    <workbookView xWindow="-120" yWindow="-120" windowWidth="20730" windowHeight="11160" xr2:uid="{CE31A042-AF19-4F8C-AE40-19C4AED9D1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2"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<sst xmlns="http://schemas.openxmlformats.org/spreadsheetml/2006/main" count="3949" uniqueCount="2230">
  <si>
    <t>Pittsburgh, Pennsylvania</t>
  </si>
  <si>
    <t>N/A</t>
  </si>
  <si>
    <t>Mining</t>
  </si>
  <si>
    <t>Kathy</t>
  </si>
  <si>
    <t>Kalenchuk</t>
  </si>
  <si>
    <t>President &amp; Principal Consultant</t>
  </si>
  <si>
    <t>RockEng Inc.</t>
  </si>
  <si>
    <t>Kingston, Canada</t>
  </si>
  <si>
    <t>(613)-507-7575</t>
  </si>
  <si>
    <t>kathy.kalenchuk@rockeng.ca</t>
  </si>
  <si>
    <t>Chief Executive Officer</t>
  </si>
  <si>
    <t>Elizabeth</t>
  </si>
  <si>
    <t>Wolfenden</t>
  </si>
  <si>
    <t>Communications and Marketing Manager</t>
  </si>
  <si>
    <t>Worx Equipment Pty Ltd</t>
  </si>
  <si>
    <t>Perth, Australia</t>
  </si>
  <si>
    <t>Request Mobile Number</t>
  </si>
  <si>
    <t>ewolfenden@worxequipment.com.au</t>
  </si>
  <si>
    <t>Ederson</t>
  </si>
  <si>
    <t>Dancosky</t>
  </si>
  <si>
    <t>Executive Procurement Manager</t>
  </si>
  <si>
    <t>J&amp;F Mineração</t>
  </si>
  <si>
    <t>São Paulo, Brazil</t>
  </si>
  <si>
    <t>ederson.dancosky@jfmin.com.br</t>
  </si>
  <si>
    <t>Xiaofeng</t>
  </si>
  <si>
    <t>Ni</t>
  </si>
  <si>
    <t>Marketing Manager</t>
  </si>
  <si>
    <t>Metalliage Inc</t>
  </si>
  <si>
    <t>Canada</t>
  </si>
  <si>
    <t>(450)-923-0066</t>
  </si>
  <si>
    <t>xiaofeng.ni@metalliage.ca</t>
  </si>
  <si>
    <t>Johanna</t>
  </si>
  <si>
    <t>M------</t>
  </si>
  <si>
    <t>Business Development Manager</t>
  </si>
  <si>
    <t>Louisiana Scrap Metal</t>
  </si>
  <si>
    <t>Lake Charles, Louisiana</t>
  </si>
  <si>
    <t>johanna@lascrapmetal.com</t>
  </si>
  <si>
    <t>Nick</t>
  </si>
  <si>
    <t>Zhao</t>
  </si>
  <si>
    <t>Manager Strategic Marketing</t>
  </si>
  <si>
    <t>SEPPE Technologies Co., Ltd.</t>
  </si>
  <si>
    <t>Zhengzhou, China</t>
  </si>
  <si>
    <t>+8613937308858</t>
  </si>
  <si>
    <t>nick.zhao@seppe.cn</t>
  </si>
  <si>
    <t>Jimmy</t>
  </si>
  <si>
    <t>Bangun</t>
  </si>
  <si>
    <t>Aletek</t>
  </si>
  <si>
    <t>+611300886628</t>
  </si>
  <si>
    <t>jimmy.bangun@aletek.com.au</t>
  </si>
  <si>
    <t>Jon</t>
  </si>
  <si>
    <t>President/CEO</t>
  </si>
  <si>
    <t>Roman</t>
  </si>
  <si>
    <t>Emter</t>
  </si>
  <si>
    <t>CEO</t>
  </si>
  <si>
    <t>ROBUSO Stahlwarenfabrik Buntenbach &amp; Sohn GmbH</t>
  </si>
  <si>
    <t>Solingen, Germany</t>
  </si>
  <si>
    <t>+492122336250</t>
  </si>
  <si>
    <t>roman.emter@robuso.de</t>
  </si>
  <si>
    <t>Cody</t>
  </si>
  <si>
    <t>S------</t>
  </si>
  <si>
    <t>Regional Business Development &amp; Technical Services Manager</t>
  </si>
  <si>
    <t>Quick Supply Co. Explosives Services</t>
  </si>
  <si>
    <t>Washington, Indiana</t>
  </si>
  <si>
    <t>(515)-289-1271</t>
  </si>
  <si>
    <t>cschaefer@quicksupplyco.com</t>
  </si>
  <si>
    <t>Maged</t>
  </si>
  <si>
    <t>Elzeiny</t>
  </si>
  <si>
    <t>ZEINOX</t>
  </si>
  <si>
    <t>Egypt</t>
  </si>
  <si>
    <t>+20225656294</t>
  </si>
  <si>
    <t>maged.elzeiny@zeinox.com</t>
  </si>
  <si>
    <t>Jin</t>
  </si>
  <si>
    <t>Song</t>
  </si>
  <si>
    <t>GM of International Company CHIC / CEO CHIC Australia</t>
  </si>
  <si>
    <t>CITIC Heavy Industries</t>
  </si>
  <si>
    <t>Luoyang, China</t>
  </si>
  <si>
    <t>jinsong@citic-hic.com.cn</t>
  </si>
  <si>
    <t>Founder</t>
  </si>
  <si>
    <t>Mississauga, Canada</t>
  </si>
  <si>
    <t>Alexander</t>
  </si>
  <si>
    <t>Fliess</t>
  </si>
  <si>
    <t>Hermann Fliess &amp; Co. GmbH</t>
  </si>
  <si>
    <t>Duisburg, Germany</t>
  </si>
  <si>
    <t>+49203319080</t>
  </si>
  <si>
    <t>a.fliess@fliess.biz</t>
  </si>
  <si>
    <t>Karl</t>
  </si>
  <si>
    <t>Schilli</t>
  </si>
  <si>
    <t>National Manager - TyreSense &amp; Asset Management</t>
  </si>
  <si>
    <t>RIMEX Australia</t>
  </si>
  <si>
    <t>+616048880025</t>
  </si>
  <si>
    <t>karl@rimex.com</t>
  </si>
  <si>
    <t>Patricia</t>
  </si>
  <si>
    <t>Penney</t>
  </si>
  <si>
    <t>Interim Chief Financial Officer</t>
  </si>
  <si>
    <t>Fortune Minerals Limited</t>
  </si>
  <si>
    <t>London, Canada</t>
  </si>
  <si>
    <t>(519)-858-8188</t>
  </si>
  <si>
    <t>ppenney@fortuneminerals.com</t>
  </si>
  <si>
    <t>Alejandro</t>
  </si>
  <si>
    <t>Caicedo</t>
  </si>
  <si>
    <t>Vice President Global Procurement</t>
  </si>
  <si>
    <t>AngloGold Ashanti</t>
  </si>
  <si>
    <t>Camberwell, United Kingdom</t>
  </si>
  <si>
    <t>+27116376000</t>
  </si>
  <si>
    <t>acaicedo@anglogoldashanti.com</t>
  </si>
  <si>
    <t>Ric</t>
  </si>
  <si>
    <t>Vice President of Business Development</t>
  </si>
  <si>
    <t>Vested Metals International</t>
  </si>
  <si>
    <t>Fort Wayne, Indiana</t>
  </si>
  <si>
    <t>(904)-495-7278</t>
  </si>
  <si>
    <t>rsnyder@vestedmetals.net</t>
  </si>
  <si>
    <t>Chris</t>
  </si>
  <si>
    <t>Dippenaar</t>
  </si>
  <si>
    <t>Chief Financial Officer</t>
  </si>
  <si>
    <t>KGL Resources Limited</t>
  </si>
  <si>
    <t>Brisbane, Australia</t>
  </si>
  <si>
    <t>+61730719003</t>
  </si>
  <si>
    <t>cdippenaar@kglresources.com.au</t>
  </si>
  <si>
    <t>Dong</t>
  </si>
  <si>
    <t>Liu</t>
  </si>
  <si>
    <t>Head of Logistics,Procurement and Business development</t>
  </si>
  <si>
    <t>Samancor Chrome</t>
  </si>
  <si>
    <t>Beijing, China</t>
  </si>
  <si>
    <t>+27112451000</t>
  </si>
  <si>
    <t>liu.dong@samancorcr.com</t>
  </si>
  <si>
    <t>Siang</t>
  </si>
  <si>
    <t>Wang</t>
  </si>
  <si>
    <t>Head of Business Development</t>
  </si>
  <si>
    <t>Mitsubishi Corporation RtM International Pte. Ltd.</t>
  </si>
  <si>
    <t>Singapore, Singapore</t>
  </si>
  <si>
    <t>siang.wang@mitsubishicorprtm.com</t>
  </si>
  <si>
    <t>Dubai, United Arab Emirates</t>
  </si>
  <si>
    <t>Meshari</t>
  </si>
  <si>
    <t>Almulla</t>
  </si>
  <si>
    <t>Deputy Procurement Manager</t>
  </si>
  <si>
    <t>UNITED STEEL INDUSTRIAL CO.</t>
  </si>
  <si>
    <t>Kuwait</t>
  </si>
  <si>
    <t>+96523200000</t>
  </si>
  <si>
    <t>meshari.almulla@kwtsteel.com</t>
  </si>
  <si>
    <t>Martin</t>
  </si>
  <si>
    <t>Janes</t>
  </si>
  <si>
    <t>CFO</t>
  </si>
  <si>
    <t>Terramin Australia Limited</t>
  </si>
  <si>
    <t>Adelaide, Australia</t>
  </si>
  <si>
    <t>+61882131415</t>
  </si>
  <si>
    <t>mjanes@terramin.com.au</t>
  </si>
  <si>
    <t>Germaine</t>
  </si>
  <si>
    <t>Coombs</t>
  </si>
  <si>
    <t>VP Finance and Chief Financial Officer</t>
  </si>
  <si>
    <t>Aurelius Minerals Inc</t>
  </si>
  <si>
    <t>Toronto, Canada</t>
  </si>
  <si>
    <t>(604)-687-6644</t>
  </si>
  <si>
    <t>germaine@aureliusminerals.com</t>
  </si>
  <si>
    <t>John</t>
  </si>
  <si>
    <t>Nie</t>
  </si>
  <si>
    <t>Letian</t>
  </si>
  <si>
    <t>Marketing Director</t>
  </si>
  <si>
    <t>Anping County Anhesheng Hardware Mesh Products Co.,Ltd.</t>
  </si>
  <si>
    <t>Hengshui, China</t>
  </si>
  <si>
    <t>nieletian@filter-wiremesh.com</t>
  </si>
  <si>
    <t>Riyadh, Saudi Arabia</t>
  </si>
  <si>
    <t>Jeremy</t>
  </si>
  <si>
    <t>Kubach</t>
  </si>
  <si>
    <t>High Tech Chrome Plating</t>
  </si>
  <si>
    <t>Nashville, Tennessee</t>
  </si>
  <si>
    <t>(270)-825-4506</t>
  </si>
  <si>
    <t>jeremy@chromeexperts.com</t>
  </si>
  <si>
    <t>Germany</t>
  </si>
  <si>
    <t>Rafael</t>
  </si>
  <si>
    <t>Cota</t>
  </si>
  <si>
    <t>Sourcing Manager Director</t>
  </si>
  <si>
    <t>The Weir Group PLC</t>
  </si>
  <si>
    <t>Apodaca, Mexico</t>
  </si>
  <si>
    <t>rafael.cota@mail.weir</t>
  </si>
  <si>
    <t>Tim</t>
  </si>
  <si>
    <t>Termuende</t>
  </si>
  <si>
    <t>President and CEO</t>
  </si>
  <si>
    <t>Eagle Plains Resources Ltd</t>
  </si>
  <si>
    <t>Cranbrook, Canada</t>
  </si>
  <si>
    <t>(250)-426-0749</t>
  </si>
  <si>
    <t>tjt@eagleplains.com</t>
  </si>
  <si>
    <t>Ismael</t>
  </si>
  <si>
    <t>Galaz</t>
  </si>
  <si>
    <t>HERCO EQUIPMENTS</t>
  </si>
  <si>
    <t>Fort Lauderdale, Florida</t>
  </si>
  <si>
    <t>igalaz@hercoequipments.com</t>
  </si>
  <si>
    <t>Abbas</t>
  </si>
  <si>
    <t>Virji</t>
  </si>
  <si>
    <t>Shalina Resources</t>
  </si>
  <si>
    <t>United Arab Emirates</t>
  </si>
  <si>
    <t>abbas@shalina.com</t>
  </si>
  <si>
    <t>Jakob</t>
  </si>
  <si>
    <t>Schneider</t>
  </si>
  <si>
    <t>Dexploc A/S</t>
  </si>
  <si>
    <t>Copenhagen, Denmark</t>
  </si>
  <si>
    <t>3</t>
  </si>
  <si>
    <t>Mining &amp; Metals</t>
  </si>
  <si>
    <t>js@dexploc.com</t>
  </si>
  <si>
    <t>Milan</t>
  </si>
  <si>
    <t>Vukovic</t>
  </si>
  <si>
    <t>Balkan Representiv / Head of Quality / Head of Procurement / Head of SQM</t>
  </si>
  <si>
    <t>König Metall GmbH &amp; Co. KG</t>
  </si>
  <si>
    <t>Gaggenau, Germany</t>
  </si>
  <si>
    <t>19</t>
  </si>
  <si>
    <t>+49722568030</t>
  </si>
  <si>
    <t>m.vukovic@koenigmetall.com</t>
  </si>
  <si>
    <t>Cat</t>
  </si>
  <si>
    <t>Wilkins</t>
  </si>
  <si>
    <t>Marketing Communications Manager</t>
  </si>
  <si>
    <t>Steel and Metals Institute</t>
  </si>
  <si>
    <t>Swansea, United Kingdom</t>
  </si>
  <si>
    <t>10</t>
  </si>
  <si>
    <t>solutions, innovation, net zero, decarbonisation, steel, metals, new technologies, research</t>
  </si>
  <si>
    <t>cat@samiswansea.co.uk</t>
  </si>
  <si>
    <t>Milad</t>
  </si>
  <si>
    <t>Zareian</t>
  </si>
  <si>
    <t>Nexus Gold Corp. (TSX.V: NXS, OTCQB: NXXGF)</t>
  </si>
  <si>
    <t>4</t>
  </si>
  <si>
    <t>(604)-558-1919</t>
  </si>
  <si>
    <t>gold, precious metals, investment, microcap, mineral exploration</t>
  </si>
  <si>
    <t>miladz@nexusgoldcorp.com</t>
  </si>
  <si>
    <t>Elise</t>
  </si>
  <si>
    <t>Cock</t>
  </si>
  <si>
    <t>Sustainable Procurement Manager (EU, CIS &amp; Türkiye)</t>
  </si>
  <si>
    <t>RHI Magnesita</t>
  </si>
  <si>
    <t>Vienna, Austria</t>
  </si>
  <si>
    <t>8,100</t>
  </si>
  <si>
    <t>+5493461462102</t>
  </si>
  <si>
    <t>ceramic refractory products, technological leader, hightemperature industrial processes, refractories, refractory solutions</t>
  </si>
  <si>
    <t>elise.cock@rhimagnesita.com</t>
  </si>
  <si>
    <t>Milne</t>
  </si>
  <si>
    <t>NT Minerals Limited</t>
  </si>
  <si>
    <t>6</t>
  </si>
  <si>
    <t>chris.milne@ntminerals.com.au</t>
  </si>
  <si>
    <t>Ashley</t>
  </si>
  <si>
    <t>Elliot</t>
  </si>
  <si>
    <t>Plantman Equipment</t>
  </si>
  <si>
    <t>21</t>
  </si>
  <si>
    <t>+61892747820</t>
  </si>
  <si>
    <t>Mining &amp; Metals, Machinery</t>
  </si>
  <si>
    <t>mining trucks, parts, service trucks, servicing, heavy equipment, construction equipment</t>
  </si>
  <si>
    <t>ashley.elliot@plantman.com.au</t>
  </si>
  <si>
    <t>Eddie</t>
  </si>
  <si>
    <t>B------</t>
  </si>
  <si>
    <t>Mississippi Silicon</t>
  </si>
  <si>
    <t>Montgomery, Alabama</t>
  </si>
  <si>
    <t>51</t>
  </si>
  <si>
    <t>(662)-696-2600</t>
  </si>
  <si>
    <t>eddie.boardwine@missilicon.com</t>
  </si>
  <si>
    <t>18</t>
  </si>
  <si>
    <t>Steven</t>
  </si>
  <si>
    <t>Cochrane</t>
  </si>
  <si>
    <t>Lithium Chile Inc. (TSXV: LITH | OTCQB: LTMCF)</t>
  </si>
  <si>
    <t>Calgary, Canada</t>
  </si>
  <si>
    <t>(587)-393-5801</t>
  </si>
  <si>
    <t>lithium, gold, silver, copper</t>
  </si>
  <si>
    <t>steve@lithiumchile.ca</t>
  </si>
  <si>
    <t>Frank</t>
  </si>
  <si>
    <t>Yang</t>
  </si>
  <si>
    <t>Director Of Purchasing</t>
  </si>
  <si>
    <t>Kinnrich Copper Smelter</t>
  </si>
  <si>
    <t>Shanghai, China</t>
  </si>
  <si>
    <t>2</t>
  </si>
  <si>
    <t>frank.yang@kinnrichcopper.com</t>
  </si>
  <si>
    <t>Walter</t>
  </si>
  <si>
    <t>Cassete</t>
  </si>
  <si>
    <t>Manager Marketing</t>
  </si>
  <si>
    <t>Conroe, Texas</t>
  </si>
  <si>
    <t>walter.cassete@rhimagnesita.com</t>
  </si>
  <si>
    <t>Matteo</t>
  </si>
  <si>
    <t>Fallini</t>
  </si>
  <si>
    <t>Owner &amp; Ceo</t>
  </si>
  <si>
    <t>IGM SRL</t>
  </si>
  <si>
    <t>Parma, Italy</t>
  </si>
  <si>
    <t>garnet, abrasivi, industrial abrasives, ricambi waterjet, spare parts for waterjet, mechanics</t>
  </si>
  <si>
    <t>m.fallini@igminerals.it</t>
  </si>
  <si>
    <t>Daniel</t>
  </si>
  <si>
    <t>Migueleto</t>
  </si>
  <si>
    <t>Gerdau Special Steel</t>
  </si>
  <si>
    <t>Jackson, Michigan</t>
  </si>
  <si>
    <t>670</t>
  </si>
  <si>
    <t>(866)-788-2798</t>
  </si>
  <si>
    <t>daniel.migueleto@gerdau.com</t>
  </si>
  <si>
    <t>690</t>
  </si>
  <si>
    <t>Asim</t>
  </si>
  <si>
    <t>Emrem</t>
  </si>
  <si>
    <t>Sales And Purchasing Manager</t>
  </si>
  <si>
    <t>Borusan Mannesmann</t>
  </si>
  <si>
    <t>İstanbul, Turkey</t>
  </si>
  <si>
    <t>1,200</t>
  </si>
  <si>
    <t>+902123935800</t>
  </si>
  <si>
    <t>steel pipe, line pipe, precision tubes</t>
  </si>
  <si>
    <t>asim.emrem@borusanmannesmann.com</t>
  </si>
  <si>
    <t>Kudzai</t>
  </si>
  <si>
    <t>Aldur</t>
  </si>
  <si>
    <t>Centreville, Virginia</t>
  </si>
  <si>
    <t>12</t>
  </si>
  <si>
    <t>kudzai@aldur.com.tr</t>
  </si>
  <si>
    <t>Peter</t>
  </si>
  <si>
    <t>Campbell</t>
  </si>
  <si>
    <t>Koodaideri Innovation and Technology</t>
  </si>
  <si>
    <t>Naval Base, Australia</t>
  </si>
  <si>
    <t>5</t>
  </si>
  <si>
    <t>maintenance &amp; technology</t>
  </si>
  <si>
    <t>peter.campbell@koodaideri-int.com</t>
  </si>
  <si>
    <t>Bryce</t>
  </si>
  <si>
    <t>Roxburgh</t>
  </si>
  <si>
    <t>Rugby Resources Ltd</t>
  </si>
  <si>
    <t>Sydney, Australia</t>
  </si>
  <si>
    <t>50</t>
  </si>
  <si>
    <t>(604)-688-4941</t>
  </si>
  <si>
    <t>gold, silver, base metals</t>
  </si>
  <si>
    <t>rox@rugbymining.com</t>
  </si>
  <si>
    <t>Jamie</t>
  </si>
  <si>
    <t>Millar</t>
  </si>
  <si>
    <t>TRADMET LIMITED</t>
  </si>
  <si>
    <t>Petersfield, United Kingdom</t>
  </si>
  <si>
    <t>9</t>
  </si>
  <si>
    <t>+441730235610</t>
  </si>
  <si>
    <t>resource, copper, brass, aluminium, lead</t>
  </si>
  <si>
    <t>jamie@tradmet.co.uk</t>
  </si>
  <si>
    <t>Jukka</t>
  </si>
  <si>
    <t>Raatikainen</t>
  </si>
  <si>
    <t>IMA Engineering</t>
  </si>
  <si>
    <t>Helsinki, Finland</t>
  </si>
  <si>
    <t>17</t>
  </si>
  <si>
    <t>+35898678100</t>
  </si>
  <si>
    <t>mine planning, geological mapping, loading control, new grade control</t>
  </si>
  <si>
    <t>jukka.raatikainen@ima.fi</t>
  </si>
  <si>
    <t>Joan</t>
  </si>
  <si>
    <t>Buscarons</t>
  </si>
  <si>
    <t>Regional Purchasing Manager</t>
  </si>
  <si>
    <t>voestalpine Precision Strip AB</t>
  </si>
  <si>
    <t>Barcelona, Spain</t>
  </si>
  <si>
    <t>130</t>
  </si>
  <si>
    <t>rakblad och skalpeller, ventilstal, sagstal, papper och print</t>
  </si>
  <si>
    <t>joan.buscarons@voestalpine.com</t>
  </si>
  <si>
    <t>Luke</t>
  </si>
  <si>
    <t>Boyle</t>
  </si>
  <si>
    <t>McIntosh Sand &amp; Gravel LP</t>
  </si>
  <si>
    <t>Saskatchewan, Canada</t>
  </si>
  <si>
    <t>(306)-361-7616</t>
  </si>
  <si>
    <t>sand, gravel, crushing, hauling, prospecting, spreading, drone, rock, stone</t>
  </si>
  <si>
    <t>luke.boyle@mcintoshgravel.com</t>
  </si>
  <si>
    <t>Olli</t>
  </si>
  <si>
    <t>Kojola</t>
  </si>
  <si>
    <t>Sleipner Finland Oy</t>
  </si>
  <si>
    <t>Jyväskylä, Finland</t>
  </si>
  <si>
    <t>15</t>
  </si>
  <si>
    <t>+358400497674</t>
  </si>
  <si>
    <t>heavy machines, mining industry, mobilization, lowbett, bull dozers &amp; drilling machines, patented, heavy equipment, sustainability, mining logistics solutions, cost savings, excavators, lowboy, efficiency, quarry, productivity increase</t>
  </si>
  <si>
    <t>olli.kojola@sleipner.com</t>
  </si>
  <si>
    <t>Vancouver, Canada</t>
  </si>
  <si>
    <t>Oil &amp; Energy, Mining &amp; Metals</t>
  </si>
  <si>
    <t>Trent</t>
  </si>
  <si>
    <t>Stievano</t>
  </si>
  <si>
    <t>CEO and Director</t>
  </si>
  <si>
    <t>Hardrock Mineral Exploration</t>
  </si>
  <si>
    <t>Cairns, Australia</t>
  </si>
  <si>
    <t>gold panning, 3d drone mapping, soil processing, mining, soil testing, exploration, uav mapping</t>
  </si>
  <si>
    <t>trent@hardrockexploration.com.au</t>
  </si>
  <si>
    <t>Jens</t>
  </si>
  <si>
    <t>Ekberg</t>
  </si>
  <si>
    <t>Höganäs AB</t>
  </si>
  <si>
    <t>Malmö, Sweden</t>
  </si>
  <si>
    <t>1,300</t>
  </si>
  <si>
    <t>+46920224900</t>
  </si>
  <si>
    <t>powder metallurgy, additive manufacturing, ceramic powders, surface technology, water treatment, soil remediation</t>
  </si>
  <si>
    <t>jens.ekberg@hoganas.com</t>
  </si>
  <si>
    <t>Liliana</t>
  </si>
  <si>
    <t>Borzuchowska</t>
  </si>
  <si>
    <t>WeLab Sp. z o.o.</t>
  </si>
  <si>
    <t>Kutno, Poland</t>
  </si>
  <si>
    <t>liliana.borzuchowska@welab.pl</t>
  </si>
  <si>
    <t>Benjamin</t>
  </si>
  <si>
    <t>Bowlware</t>
  </si>
  <si>
    <t>Global Marketing Director</t>
  </si>
  <si>
    <t>H-E Parts International</t>
  </si>
  <si>
    <t>Atlanta, Georgia</t>
  </si>
  <si>
    <t>430</t>
  </si>
  <si>
    <t>+56552424400</t>
  </si>
  <si>
    <t>mining maintenance solutions, equipment maintenance solutions, parts design, engineering, manufacturing, trucks, shovels, crusher, support equipment, remanufacturing, equipment consulting, asset disposal, equipment relocation services, industrial heating &amp; cooling, heat exchange, mineral processing, mining, mining machinery, industrial engineering, heavy equipment machinery, crushing parts, metals, mining wear parts</t>
  </si>
  <si>
    <t>benjamin.bowlware@h-eparts.com</t>
  </si>
  <si>
    <t>Ekrem</t>
  </si>
  <si>
    <t>Gencoglu</t>
  </si>
  <si>
    <t>Alchemist Metals Trading</t>
  </si>
  <si>
    <t>ekrem@acmtrd.com</t>
  </si>
  <si>
    <t>Philippe</t>
  </si>
  <si>
    <t>Bijnens</t>
  </si>
  <si>
    <t>Heau bv</t>
  </si>
  <si>
    <t>Bilzen, Belgium</t>
  </si>
  <si>
    <t>philippe.bijnens@heau.be</t>
  </si>
  <si>
    <t>Damian</t>
  </si>
  <si>
    <t>Lowry</t>
  </si>
  <si>
    <t>Talon GET</t>
  </si>
  <si>
    <t>11</t>
  </si>
  <si>
    <t>+606053210655</t>
  </si>
  <si>
    <t>manufacturing, consulting, ground engaging tools, rd, rampd</t>
  </si>
  <si>
    <t>damian.lowry@talonget.com</t>
  </si>
  <si>
    <t>David</t>
  </si>
  <si>
    <t>Kelley</t>
  </si>
  <si>
    <t>Chakana Copper Corp (TSX.V:PERU)(OTC:CHKKF)(FRA:1ZX)</t>
  </si>
  <si>
    <t>Denver, Colorado</t>
  </si>
  <si>
    <t>(604)-638-8063</t>
  </si>
  <si>
    <t>mineral exploration, cu, zn, auag deposit types, copper mining, monetizing mineral assets, copper exploration, gold exploration, tourmaline breccia pipes, copper exploration peru</t>
  </si>
  <si>
    <t>dkelley@chakanacopper.com</t>
  </si>
  <si>
    <t>Marcel</t>
  </si>
  <si>
    <t>Wieser</t>
  </si>
  <si>
    <t>Social Media Marketing-Manager</t>
  </si>
  <si>
    <t>Badtke Edelstahl GmbH</t>
  </si>
  <si>
    <t>+49618490910</t>
  </si>
  <si>
    <t>Wholesale, Mining &amp; Metals</t>
  </si>
  <si>
    <t>edelstahl</t>
  </si>
  <si>
    <t>m.wieser@badtke.de</t>
  </si>
  <si>
    <t>Altizer</t>
  </si>
  <si>
    <t>Flammable Goods Storage | Storage Cabinets | Commercial - Home Shelving and Racking | Founder &amp; CEO</t>
  </si>
  <si>
    <t>MaxxBuild Industries</t>
  </si>
  <si>
    <t>Macao</t>
  </si>
  <si>
    <t>7</t>
  </si>
  <si>
    <t>+85385910824</t>
  </si>
  <si>
    <t>jwaltizer@maxxbuild.com</t>
  </si>
  <si>
    <t>Rob</t>
  </si>
  <si>
    <t>Wicks</t>
  </si>
  <si>
    <t>Consultant Finance Manager</t>
  </si>
  <si>
    <t>The Remet Company Limited</t>
  </si>
  <si>
    <t>Sudbury, United Kingdom</t>
  </si>
  <si>
    <t>robwicks@remetcompany.com</t>
  </si>
  <si>
    <t>Whitney</t>
  </si>
  <si>
    <t>Crockett</t>
  </si>
  <si>
    <t>Purchasing Manager / Processing Manager</t>
  </si>
  <si>
    <t>StateLine Steel LLC</t>
  </si>
  <si>
    <t>Columbia, Kentucky</t>
  </si>
  <si>
    <t>(270)-946-0700</t>
  </si>
  <si>
    <t>low cost, flat rolled carbon steel, sheets</t>
  </si>
  <si>
    <t>whitney@statelinesteel.com</t>
  </si>
  <si>
    <t>Robert</t>
  </si>
  <si>
    <t>Weimar</t>
  </si>
  <si>
    <t>Director Of Business Development</t>
  </si>
  <si>
    <t>Newman Flange &amp; Fitting Co</t>
  </si>
  <si>
    <t>Pearland, Texas</t>
  </si>
  <si>
    <t>(209)-862-2977</t>
  </si>
  <si>
    <t>forging, machining, nickel alloys, titanium, flanges, stainless steel, manufacturing</t>
  </si>
  <si>
    <t>rweimar@newmanflange.com</t>
  </si>
  <si>
    <t>Lucija</t>
  </si>
  <si>
    <t>Cimurovski</t>
  </si>
  <si>
    <t>Colorplast d.o.o.</t>
  </si>
  <si>
    <t>United Kingdom</t>
  </si>
  <si>
    <t>1</t>
  </si>
  <si>
    <t>lucija@colorplast.hr</t>
  </si>
  <si>
    <t>Thomas</t>
  </si>
  <si>
    <t>Staeuble</t>
  </si>
  <si>
    <t>SWD AG Stator- und Rotortechnik</t>
  </si>
  <si>
    <t>Densbüren, Switzerland</t>
  </si>
  <si>
    <t>+41628679218</t>
  </si>
  <si>
    <t>t.staeuble@swdag.ch</t>
  </si>
  <si>
    <t>Di</t>
  </si>
  <si>
    <t>Pierpaolo</t>
  </si>
  <si>
    <t>Chief Financial Officer &amp; Executive Director</t>
  </si>
  <si>
    <t>KME</t>
  </si>
  <si>
    <t>Florence, Italy</t>
  </si>
  <si>
    <t>+495413210</t>
  </si>
  <si>
    <t>pierpaolo.difabio@kme.com</t>
  </si>
  <si>
    <t>Martina</t>
  </si>
  <si>
    <t>Krapez</t>
  </si>
  <si>
    <t>Sgonico, Italy</t>
  </si>
  <si>
    <t>martina.krapez@rhimagnesita.com</t>
  </si>
  <si>
    <t>Kathlen</t>
  </si>
  <si>
    <t>Bozanic</t>
  </si>
  <si>
    <t>IGO Ltd</t>
  </si>
  <si>
    <t>City Beach, Australia</t>
  </si>
  <si>
    <t>710</t>
  </si>
  <si>
    <t>+61892388300</t>
  </si>
  <si>
    <t>mining, mineral exploration, nickel, copper, project development, cobalt, lithium</t>
  </si>
  <si>
    <t>kbozanic@igo.com.au</t>
  </si>
  <si>
    <t>Antonino</t>
  </si>
  <si>
    <t>Ionata</t>
  </si>
  <si>
    <t>Head of FP&amp;A</t>
  </si>
  <si>
    <t>Gruppo Fiori</t>
  </si>
  <si>
    <t>Bologna, Italy</t>
  </si>
  <si>
    <t>23</t>
  </si>
  <si>
    <t>ionata@gruppofiori.it</t>
  </si>
  <si>
    <t>Karin</t>
  </si>
  <si>
    <t>Senior Business Development Project Manager</t>
  </si>
  <si>
    <t>Alleima</t>
  </si>
  <si>
    <t>Sandviken, Sweden</t>
  </si>
  <si>
    <t>+467248879700</t>
  </si>
  <si>
    <t>Brian</t>
  </si>
  <si>
    <t>Steele</t>
  </si>
  <si>
    <t>Co-Founder/Chief Financial Officer</t>
  </si>
  <si>
    <t>Victory Welding Alloys, Inc.</t>
  </si>
  <si>
    <t>Charlotte, North Carolina</t>
  </si>
  <si>
    <t>(704)-523-8798</t>
  </si>
  <si>
    <t>bpsteele@victoryweldingalloys.com</t>
  </si>
  <si>
    <t>Esra</t>
  </si>
  <si>
    <t>Sayar</t>
  </si>
  <si>
    <t>ESAYSAN ENDÜSTRİYEL METAL ÜRÜNLERİ SAN.</t>
  </si>
  <si>
    <t>Eskisehir, Turkey</t>
  </si>
  <si>
    <t>+902222368386</t>
  </si>
  <si>
    <t>esra.sayar@esaysan.com.tr</t>
  </si>
  <si>
    <t>Stephanie</t>
  </si>
  <si>
    <t>Gallagher</t>
  </si>
  <si>
    <t>Spuncast, Incorporated</t>
  </si>
  <si>
    <t>Watertown, Wisconsin</t>
  </si>
  <si>
    <t>(800)-394-5798</t>
  </si>
  <si>
    <t>sgallagher@spuncast.com</t>
  </si>
  <si>
    <t>Marcelo</t>
  </si>
  <si>
    <t>Santos</t>
  </si>
  <si>
    <t>Head of Marketing &amp; Solutions</t>
  </si>
  <si>
    <t>Plano, Texas</t>
  </si>
  <si>
    <t>marcelo.santos@rhimagnesita.com</t>
  </si>
  <si>
    <t>Stewart</t>
  </si>
  <si>
    <t>Emslie</t>
  </si>
  <si>
    <t>Consultant/Director</t>
  </si>
  <si>
    <t>NGK BERYLCO FRANCE</t>
  </si>
  <si>
    <t>Bolton, United Kingdom</t>
  </si>
  <si>
    <t>stewart.emslie@ngk-alloys.com</t>
  </si>
  <si>
    <t>Newcastle, Australia</t>
  </si>
  <si>
    <t>Selia</t>
  </si>
  <si>
    <t>Temel</t>
  </si>
  <si>
    <t>Responsable marketing - Community manager</t>
  </si>
  <si>
    <t>ETA Metalgroup</t>
  </si>
  <si>
    <t>Charleroi, Belgium</t>
  </si>
  <si>
    <t>+3271360015</t>
  </si>
  <si>
    <t>selia.temel@metalgroup.be</t>
  </si>
  <si>
    <t>Peru</t>
  </si>
  <si>
    <t>Williamson</t>
  </si>
  <si>
    <t>Founder, Director (former CEO)</t>
  </si>
  <si>
    <t>Founders Metals Inc.</t>
  </si>
  <si>
    <t>Edmonton, Canada</t>
  </si>
  <si>
    <t>johnw@fdrmetals.com</t>
  </si>
  <si>
    <t>Oscar</t>
  </si>
  <si>
    <t>Sanabria</t>
  </si>
  <si>
    <t>Buying Manager</t>
  </si>
  <si>
    <t>Resonor SA</t>
  </si>
  <si>
    <t>Rimini, Italy</t>
  </si>
  <si>
    <t>oscar.sanabria@resonor.ch</t>
  </si>
  <si>
    <t>Jared</t>
  </si>
  <si>
    <t>Lewis</t>
  </si>
  <si>
    <t>Prince Fabrications PTY LTD</t>
  </si>
  <si>
    <t>Wetherill Park, Australia</t>
  </si>
  <si>
    <t>jared@princefabrications.com.au</t>
  </si>
  <si>
    <t>Steffen</t>
  </si>
  <si>
    <t>Sauter</t>
  </si>
  <si>
    <t>haru</t>
  </si>
  <si>
    <t>Rutesheim, Germany</t>
  </si>
  <si>
    <t>+49711759060</t>
  </si>
  <si>
    <t>s.sauter@haru-praezision.de</t>
  </si>
  <si>
    <t>Debbie</t>
  </si>
  <si>
    <t>Sewell</t>
  </si>
  <si>
    <t>EVP GLOBAL NEW BUSINESS DEVELOPMENT</t>
  </si>
  <si>
    <t>Searcher</t>
  </si>
  <si>
    <t>+61893270300</t>
  </si>
  <si>
    <t>d.sewell@searcherseismic.com</t>
  </si>
  <si>
    <t>H------</t>
  </si>
  <si>
    <t>CEO &amp; President</t>
  </si>
  <si>
    <t>Robar Enterprises, Inc.</t>
  </si>
  <si>
    <t>Hesperia, California</t>
  </si>
  <si>
    <t>(760)-244-9325</t>
  </si>
  <si>
    <t>jhove@robar.com</t>
  </si>
  <si>
    <t>Patrick</t>
  </si>
  <si>
    <t>Jacob</t>
  </si>
  <si>
    <t>Fr. Jacob Söhne GmbH &amp; Co. KG</t>
  </si>
  <si>
    <t>Porta Westfalica, Germany</t>
  </si>
  <si>
    <t>p.jacob@jacob-rohre.de</t>
  </si>
  <si>
    <t>Sebastian</t>
  </si>
  <si>
    <t>Nowak</t>
  </si>
  <si>
    <t>Manager of Purchasing</t>
  </si>
  <si>
    <t>Cromo-Stal</t>
  </si>
  <si>
    <t>Katowice, Poland</t>
  </si>
  <si>
    <t>s.nowak@cromostal.pl</t>
  </si>
  <si>
    <t>Rhonda</t>
  </si>
  <si>
    <t>Hoebarth</t>
  </si>
  <si>
    <t>Co-founder &amp; President</t>
  </si>
  <si>
    <t>California Metals</t>
  </si>
  <si>
    <t>United States</t>
  </si>
  <si>
    <t>(949)-678-1404</t>
  </si>
  <si>
    <t>r.hoebarth@californiametals.com</t>
  </si>
  <si>
    <t>Missy</t>
  </si>
  <si>
    <t>Stough</t>
  </si>
  <si>
    <t>Purchasing Manager, Inside Sales/Job and Shipping Coordinator</t>
  </si>
  <si>
    <t>WearPro Inc</t>
  </si>
  <si>
    <t>Tucson, Arizona</t>
  </si>
  <si>
    <t>(520)-331-5213</t>
  </si>
  <si>
    <t>missy@wearpro-inc.com</t>
  </si>
  <si>
    <t>Kloft</t>
  </si>
  <si>
    <t>Manager Asset-Management</t>
  </si>
  <si>
    <t>Outokumpu</t>
  </si>
  <si>
    <t>Dillenburg, Germany</t>
  </si>
  <si>
    <t>+35894211</t>
  </si>
  <si>
    <t>martin.kloft@outokumpu.com</t>
  </si>
  <si>
    <t>Mark</t>
  </si>
  <si>
    <t>Forge Racks &amp; Dunnage</t>
  </si>
  <si>
    <t>Cincinnati, Ohio</t>
  </si>
  <si>
    <t>(765)-825-2100</t>
  </si>
  <si>
    <t>mberardi@forge-racks.com</t>
  </si>
  <si>
    <t>Linda</t>
  </si>
  <si>
    <t>Paradis</t>
  </si>
  <si>
    <t>Purchasing Manager</t>
  </si>
  <si>
    <t>Diversified Ulbrich of Canada Inc</t>
  </si>
  <si>
    <t>(800)-268-1233</t>
  </si>
  <si>
    <t>lparadis@ulbrich.com</t>
  </si>
  <si>
    <t>Berger</t>
  </si>
  <si>
    <t>Director of Sales and Marketing</t>
  </si>
  <si>
    <t>RePliForm, Inc.</t>
  </si>
  <si>
    <t>Severn, Maryland</t>
  </si>
  <si>
    <t>(410)-242-5110</t>
  </si>
  <si>
    <t>brian@repliforminc.com</t>
  </si>
  <si>
    <t>Mike</t>
  </si>
  <si>
    <t>J------</t>
  </si>
  <si>
    <t>Director of Sales, Business Development And Marketing</t>
  </si>
  <si>
    <t>Certified Enameling Inc.</t>
  </si>
  <si>
    <t>Los Angeles, California</t>
  </si>
  <si>
    <t>+13232644403ext224</t>
  </si>
  <si>
    <t>mjubrail@certifiedenameling.com</t>
  </si>
  <si>
    <t>Kevin</t>
  </si>
  <si>
    <t>thyssenkrupp Materials NA, Copper and Brass Sales Division</t>
  </si>
  <si>
    <t>Crown Point, Indiana</t>
  </si>
  <si>
    <t>280</t>
  </si>
  <si>
    <t>(248)-233-5600</t>
  </si>
  <si>
    <t>materials processing, metal service center, copper &amp; alloys, carbon steel, aluminum, stainless steel</t>
  </si>
  <si>
    <t>kevin.bishop@thyssenkrupp-materials.com</t>
  </si>
  <si>
    <t>Bhavisha</t>
  </si>
  <si>
    <t>P------</t>
  </si>
  <si>
    <t>Marketing Technology Manager</t>
  </si>
  <si>
    <t>Plymouth Tube Company</t>
  </si>
  <si>
    <t>Chicago, Illinois</t>
  </si>
  <si>
    <t>380</t>
  </si>
  <si>
    <t>(630)-393-4424</t>
  </si>
  <si>
    <t>stainless &amp; carbon steel tubing manufacturer &amp; extruded steel &amp; titanium net &amp; near net shape</t>
  </si>
  <si>
    <t>bpatel@plymouth.com</t>
  </si>
  <si>
    <t>Ali</t>
  </si>
  <si>
    <t>Fayed</t>
  </si>
  <si>
    <t>Procurement Manager</t>
  </si>
  <si>
    <t>Western Baas Steel For Steel Industries</t>
  </si>
  <si>
    <t>Jeddah, Saudi Arabia</t>
  </si>
  <si>
    <t>ali@westernbaassteel.com</t>
  </si>
  <si>
    <t>Adam</t>
  </si>
  <si>
    <t>Howse</t>
  </si>
  <si>
    <t>MacLean Engineering</t>
  </si>
  <si>
    <t>Rossland, Canada</t>
  </si>
  <si>
    <t>610</t>
  </si>
  <si>
    <t>(705)-445-5707</t>
  </si>
  <si>
    <t>manufacturing, mining equipment, training, service &amp; support, ground support, secondary reduction, ore flow, utility vehicles, battery electric vehicles, automation</t>
  </si>
  <si>
    <t>ahowse@macleanengineering.com</t>
  </si>
  <si>
    <t>Mario</t>
  </si>
  <si>
    <t>Militerni</t>
  </si>
  <si>
    <t>TAU Metalli S.r.l.</t>
  </si>
  <si>
    <t>Brescia, Italy</t>
  </si>
  <si>
    <t>mmiliterni@taumetalli.it</t>
  </si>
  <si>
    <t>Alex</t>
  </si>
  <si>
    <t>Zolotarev</t>
  </si>
  <si>
    <t>SAP BPC senior consultant / manager (reporting)</t>
  </si>
  <si>
    <t>NLMK Group</t>
  </si>
  <si>
    <t>Russia</t>
  </si>
  <si>
    <t>1,100</t>
  </si>
  <si>
    <t>high value added steel products, slab production, transformer steel, prepainted steel</t>
  </si>
  <si>
    <t>zolotarev_av2@nlmk.com</t>
  </si>
  <si>
    <t>Ola</t>
  </si>
  <si>
    <t>Okland</t>
  </si>
  <si>
    <t>Head of Sales &amp; Business Development</t>
  </si>
  <si>
    <t>Speira</t>
  </si>
  <si>
    <t>Kopervik, Norway</t>
  </si>
  <si>
    <t>730</t>
  </si>
  <si>
    <t>+494258828080</t>
  </si>
  <si>
    <t>ola.okland@speira.com</t>
  </si>
  <si>
    <t>Guenter</t>
  </si>
  <si>
    <t>Tiess</t>
  </si>
  <si>
    <t>Founder &amp; Managing Director</t>
  </si>
  <si>
    <t>MinPol GmbH</t>
  </si>
  <si>
    <t>Austria</t>
  </si>
  <si>
    <t>mineral policy, governance, mining, metals, mineral exploration, mineral economics, critical raw material strategy, sustainable mining, mineral commodity trading, circular economy, mineral industry intelligence, mineral industry analytics, mining business development, mine licensing, permits, environment impact assessment</t>
  </si>
  <si>
    <t>gtiess@minpol.com</t>
  </si>
  <si>
    <t>Nathan</t>
  </si>
  <si>
    <t>Willi</t>
  </si>
  <si>
    <t>COO / Co-Founder</t>
  </si>
  <si>
    <t>Amethyst Finishing LLC</t>
  </si>
  <si>
    <t>Dallas, Texas</t>
  </si>
  <si>
    <t>(972)-292-9860</t>
  </si>
  <si>
    <t>n.willi@amethystfinishing.com</t>
  </si>
  <si>
    <t>Wanhatalo</t>
  </si>
  <si>
    <t>2,000</t>
  </si>
  <si>
    <t>karin.wanhatalo@alleima.com</t>
  </si>
  <si>
    <t>Hugo</t>
  </si>
  <si>
    <t>Barriola</t>
  </si>
  <si>
    <t>CEO Building Materials</t>
  </si>
  <si>
    <t>Emirates Steel Arkan</t>
  </si>
  <si>
    <t>Abu Dhabi, United Arab Emirates</t>
  </si>
  <si>
    <t>2,200</t>
  </si>
  <si>
    <t>+97125511187</t>
  </si>
  <si>
    <t>reinforced bar, structural steel, wire rod, steel making, steel billets, dri, sheet piles</t>
  </si>
  <si>
    <t>hugo.losada@emiratessteel.com</t>
  </si>
  <si>
    <t>Billy</t>
  </si>
  <si>
    <t>Rowe</t>
  </si>
  <si>
    <t>Jones Petroleum Services</t>
  </si>
  <si>
    <t>Pikeville, Kentucky</t>
  </si>
  <si>
    <t>20</t>
  </si>
  <si>
    <t>(606)-432-5724</t>
  </si>
  <si>
    <t>mining, natural gas, industrial plants, foodgrade, logging, trucking, construction, industry greases</t>
  </si>
  <si>
    <t>browe@jonespetro.com</t>
  </si>
  <si>
    <t>Burlet</t>
  </si>
  <si>
    <t>Director &amp; Consulting Geologist</t>
  </si>
  <si>
    <t>H&amp;S Consultants Pty Ltd</t>
  </si>
  <si>
    <t>+61298583863</t>
  </si>
  <si>
    <t>feasibility studies, minerals exploration, resource estimation, geological modelling, data management, due diligence</t>
  </si>
  <si>
    <t>luke.burlet@hsconsultants.net.au</t>
  </si>
  <si>
    <t>Moamer</t>
  </si>
  <si>
    <t>Diab</t>
  </si>
  <si>
    <t>Mine operation consultant &amp; Contract manager</t>
  </si>
  <si>
    <t>RIDA Group</t>
  </si>
  <si>
    <t>Kassala, Sudan</t>
  </si>
  <si>
    <t>220</t>
  </si>
  <si>
    <t>mining, exploration, processing, engineering, epcm</t>
  </si>
  <si>
    <t>moamer.diab@ridagroup.com</t>
  </si>
  <si>
    <t>Ralf</t>
  </si>
  <si>
    <t>Horsthemke</t>
  </si>
  <si>
    <t>Head of Purchasing</t>
  </si>
  <si>
    <t>Winkelmann MSR Technology</t>
  </si>
  <si>
    <t>Ahlen, Germany</t>
  </si>
  <si>
    <t>flowforming, drueckwalzen, metallumformung, spinning, grob walzen, lamellentraeger, innenverzahnungen</t>
  </si>
  <si>
    <t>ralf.horsthemke@winkelmann-flowforming.de</t>
  </si>
  <si>
    <t>Aygul</t>
  </si>
  <si>
    <t>Bakirova</t>
  </si>
  <si>
    <t>Deputy CFO</t>
  </si>
  <si>
    <t>ArcelorMittal Temirtau</t>
  </si>
  <si>
    <t>Nur-Sultan, Kazakhstan</t>
  </si>
  <si>
    <t>260</t>
  </si>
  <si>
    <t>+77213919191</t>
  </si>
  <si>
    <t>aygul.bakirova@arcelormittal.com</t>
  </si>
  <si>
    <t>Cengiz</t>
  </si>
  <si>
    <t>Kamali</t>
  </si>
  <si>
    <t>Hermes Metal</t>
  </si>
  <si>
    <t>Istanbul, Turkey</t>
  </si>
  <si>
    <t>16</t>
  </si>
  <si>
    <t>steel pipes, steel profiles, steel service center</t>
  </si>
  <si>
    <t>ck@hermesmetal.com</t>
  </si>
  <si>
    <t>Blain</t>
  </si>
  <si>
    <t>Wilson</t>
  </si>
  <si>
    <t>Worthy Group</t>
  </si>
  <si>
    <t>Broadwood, Australia</t>
  </si>
  <si>
    <t>8</t>
  </si>
  <si>
    <t>+613345243691</t>
  </si>
  <si>
    <t>mining, heavy equipment, civil, construction, digital media, marketing, procurement, mining industry, asset disposal</t>
  </si>
  <si>
    <t>blain@worthyparts.com</t>
  </si>
  <si>
    <t>Camargos</t>
  </si>
  <si>
    <t>Chief Financial Officer (CFO)</t>
  </si>
  <si>
    <t>Camargos Júnior</t>
  </si>
  <si>
    <t>Itaúna, Brazil</t>
  </si>
  <si>
    <t>iron ore, aggregates for civil construction, mineral fertilizer</t>
  </si>
  <si>
    <t>mj@camargosjunior.com</t>
  </si>
  <si>
    <t>Bruno</t>
  </si>
  <si>
    <t>Anjos</t>
  </si>
  <si>
    <t>Head of Purchasing SAM Raw Material &amp; Consumabl - MRO</t>
  </si>
  <si>
    <t>Contagem, Brazil</t>
  </si>
  <si>
    <t>bruno.anjos@rhimagnesita.com</t>
  </si>
  <si>
    <t>Danilo</t>
  </si>
  <si>
    <t>Marzo</t>
  </si>
  <si>
    <t>Head of Marketing</t>
  </si>
  <si>
    <t>Acciaierie d'Italia</t>
  </si>
  <si>
    <t>Milan, Italy</t>
  </si>
  <si>
    <t>+3902300351</t>
  </si>
  <si>
    <t>long &amp; flatrolled steel, automotive steel, tubular products, highstrength steel, iron ore mining, coal mining, research &amp; development, industry 40, digital industry</t>
  </si>
  <si>
    <t>danilo.marzo@acciaierieditalia.com</t>
  </si>
  <si>
    <t>Bruce</t>
  </si>
  <si>
    <t>Smith</t>
  </si>
  <si>
    <t>CEO and President</t>
  </si>
  <si>
    <t>Radius Gold Inc (TSXV:RDU)</t>
  </si>
  <si>
    <t>New Zealand</t>
  </si>
  <si>
    <t>(604)-801-5432</t>
  </si>
  <si>
    <t>gold exploration &amp; strategic investments</t>
  </si>
  <si>
    <t>bsmith@radiusgold.com</t>
  </si>
  <si>
    <t>Marko</t>
  </si>
  <si>
    <t>Wessman</t>
  </si>
  <si>
    <t>Tamminiitty Oy</t>
  </si>
  <si>
    <t>Finland</t>
  </si>
  <si>
    <t>+35835828650770</t>
  </si>
  <si>
    <t>koneistus, metallin laserleikkaus, saermaeys, metallin pintakaesittely, hitsaus</t>
  </si>
  <si>
    <t>marko.wessman@tamminiitty.fi</t>
  </si>
  <si>
    <t>Rowena</t>
  </si>
  <si>
    <t>Mullins</t>
  </si>
  <si>
    <t>Director Financial Planning &amp; Analysis, Europe</t>
  </si>
  <si>
    <t>Omya</t>
  </si>
  <si>
    <t>Oftringen, Switzerland</t>
  </si>
  <si>
    <t>3,900</t>
  </si>
  <si>
    <t>+41627892929</t>
  </si>
  <si>
    <t>calcium carbonate &amp; distribution of specialty chemicals</t>
  </si>
  <si>
    <t>rowena.mullins@omya.com</t>
  </si>
  <si>
    <t>Gordy</t>
  </si>
  <si>
    <t>Williams</t>
  </si>
  <si>
    <t>EDI Resources</t>
  </si>
  <si>
    <t>Scottsdale, Arizona</t>
  </si>
  <si>
    <t>labormanagement relations, supervisory development, consulting, maintenance systems, productivity improvement</t>
  </si>
  <si>
    <t>gordy@edii.com</t>
  </si>
  <si>
    <t>Fabio</t>
  </si>
  <si>
    <t>Cerqueira</t>
  </si>
  <si>
    <t>CEO AGERA - Vale Group Company</t>
  </si>
  <si>
    <t>Agera.co</t>
  </si>
  <si>
    <t>Nova Lima, Brazil</t>
  </si>
  <si>
    <t>fabio.cerqueira@agera.co</t>
  </si>
  <si>
    <t>Timo</t>
  </si>
  <si>
    <t>Roeskes</t>
  </si>
  <si>
    <t>CFO / Managing Director</t>
  </si>
  <si>
    <t>HÄRTHA GROUP</t>
  </si>
  <si>
    <t>Alsdorf, Germany</t>
  </si>
  <si>
    <t>38</t>
  </si>
  <si>
    <t>+493729692680</t>
  </si>
  <si>
    <t>timo.roeskes@haertha.de</t>
  </si>
  <si>
    <t>Grosch</t>
  </si>
  <si>
    <t>INTERSTAHL</t>
  </si>
  <si>
    <t>Wetter, Germany</t>
  </si>
  <si>
    <t>cnc processing, heavy plate metal, thin sheet metal</t>
  </si>
  <si>
    <t>tgrosch@interstahl.com</t>
  </si>
  <si>
    <t>Andrey</t>
  </si>
  <si>
    <t>Azbarov</t>
  </si>
  <si>
    <t>Cyberia International</t>
  </si>
  <si>
    <t>36</t>
  </si>
  <si>
    <t>+971509374632</t>
  </si>
  <si>
    <t>it, oil &amp; gas, automotive, mining, consulting</t>
  </si>
  <si>
    <t>andrey.azbarov@cyberia-tech.com</t>
  </si>
  <si>
    <t>Enric</t>
  </si>
  <si>
    <t>Mestres</t>
  </si>
  <si>
    <t>CFO, Comercial</t>
  </si>
  <si>
    <t>Hijo de Ernesto Herms S.L</t>
  </si>
  <si>
    <t>+34933732555</t>
  </si>
  <si>
    <t>fundicion de aluminio</t>
  </si>
  <si>
    <t>emestres@h-herms.es</t>
  </si>
  <si>
    <t>Katie</t>
  </si>
  <si>
    <t>Jeremiah</t>
  </si>
  <si>
    <t>[Site Retired]</t>
  </si>
  <si>
    <t>Eugene, Oregon</t>
  </si>
  <si>
    <t>rock blasting, rock crushing, rock drilling, quarry rock</t>
  </si>
  <si>
    <t>katie.jeremiah@ariinc.com</t>
  </si>
  <si>
    <t>Oxley</t>
  </si>
  <si>
    <t>Director of Strategy and Business Development</t>
  </si>
  <si>
    <t>Brazilian Nickel</t>
  </si>
  <si>
    <t>Teresina, Brazil</t>
  </si>
  <si>
    <t>mining, processing, heap leaching, ion exchange application, high purity nickel, cobalt products</t>
  </si>
  <si>
    <t>moxley@brnickel.com</t>
  </si>
  <si>
    <t>Anthony</t>
  </si>
  <si>
    <t>Sokolowski</t>
  </si>
  <si>
    <t>Vibroflow</t>
  </si>
  <si>
    <t>Melbourne, Australia</t>
  </si>
  <si>
    <t>+61387863335</t>
  </si>
  <si>
    <t>mining, recycling, food, metals, pharmaceutical</t>
  </si>
  <si>
    <t>anthony@vibroflow.com.au</t>
  </si>
  <si>
    <t>Jean-Marc</t>
  </si>
  <si>
    <t>Lulin</t>
  </si>
  <si>
    <t>President and Chief Executive Officer</t>
  </si>
  <si>
    <t>Azimut Exploration Inc. (AZM)</t>
  </si>
  <si>
    <t>Montreal, Canada</t>
  </si>
  <si>
    <t>(450)-646-3015</t>
  </si>
  <si>
    <t>mining exploration, project generator, predictive modelling, gold, copper, uranium, rare earth element, aztechmine, nickel, lithium</t>
  </si>
  <si>
    <t>jmlulin@azimut-exploration.com</t>
  </si>
  <si>
    <t>Sloan</t>
  </si>
  <si>
    <t>Head of Procurement</t>
  </si>
  <si>
    <t>Unimetals</t>
  </si>
  <si>
    <t>+447799215982</t>
  </si>
  <si>
    <t>sthomas@unimetals.com</t>
  </si>
  <si>
    <t>Mariam</t>
  </si>
  <si>
    <t>Lashkhi</t>
  </si>
  <si>
    <t>Georgian Manganese</t>
  </si>
  <si>
    <t>85</t>
  </si>
  <si>
    <t>m.lashkhi@gm.ge</t>
  </si>
  <si>
    <t>Tianhong</t>
  </si>
  <si>
    <t>Yu</t>
  </si>
  <si>
    <t>Cofounder &amp; COO</t>
  </si>
  <si>
    <t>Origin Space</t>
  </si>
  <si>
    <t>Houston, Texas</t>
  </si>
  <si>
    <t>14</t>
  </si>
  <si>
    <t>satellite, mining, asteroid, space resources, space telescope</t>
  </si>
  <si>
    <t>yutianhong@origin.space</t>
  </si>
  <si>
    <t>Richard</t>
  </si>
  <si>
    <t>Anderson</t>
  </si>
  <si>
    <t>Lee</t>
  </si>
  <si>
    <t>VP Sales and Marketing</t>
  </si>
  <si>
    <t>PHQ GLOBAL</t>
  </si>
  <si>
    <t>(905)-332-3271</t>
  </si>
  <si>
    <t>jackleg &amp; stoper drills for mining, portable diamond drills for exploration, heavy pneumatic long hole drills for mining, light drilling jumbos &amp; long hole drill carriers</t>
  </si>
  <si>
    <t>rlee@phqglobal.com</t>
  </si>
  <si>
    <t>Sven</t>
  </si>
  <si>
    <t>Wildner</t>
  </si>
  <si>
    <t>Group Chief Financial Officer</t>
  </si>
  <si>
    <t>Zurich, Switzerland</t>
  </si>
  <si>
    <t>sven.wildner@omya.com</t>
  </si>
  <si>
    <t>Carlo</t>
  </si>
  <si>
    <t>Buffone</t>
  </si>
  <si>
    <t>Paramount Gold Nevada Corp. (NYSE American: PZG)</t>
  </si>
  <si>
    <t>Ottawa, Canada</t>
  </si>
  <si>
    <t>13</t>
  </si>
  <si>
    <t>(866)-481-2233</t>
  </si>
  <si>
    <t>mining, nyse mkt listed, exploration, gold, silver, mining &amp; metals, pgms</t>
  </si>
  <si>
    <t>carlo@paramountnevada.com</t>
  </si>
  <si>
    <t>Callam</t>
  </si>
  <si>
    <t>Baumann</t>
  </si>
  <si>
    <t>ATA Steel</t>
  </si>
  <si>
    <t>Karnup, Australia</t>
  </si>
  <si>
    <t>24</t>
  </si>
  <si>
    <t>steel plate processing, hardox wearparts, sa51770 boiler plate</t>
  </si>
  <si>
    <t>callam@atasteel.com.au</t>
  </si>
  <si>
    <t>Greg</t>
  </si>
  <si>
    <t>Pendura</t>
  </si>
  <si>
    <t>Regenx Tech Corp</t>
  </si>
  <si>
    <t>Saint Albert, Canada</t>
  </si>
  <si>
    <t>(866)-498-4213</t>
  </si>
  <si>
    <t>Environmental Services, Mining &amp; Metals</t>
  </si>
  <si>
    <t>greg@mineworx.net</t>
  </si>
  <si>
    <t>Andrew</t>
  </si>
  <si>
    <t>Wantland</t>
  </si>
  <si>
    <t>Head of Procurement and Supply Chain Management - NAM</t>
  </si>
  <si>
    <t>andrew.wantland@rhimagnesita.com</t>
  </si>
  <si>
    <t>Corinne</t>
  </si>
  <si>
    <t>Riboux</t>
  </si>
  <si>
    <t>Packaging Purchasing Manager</t>
  </si>
  <si>
    <t>Salins</t>
  </si>
  <si>
    <t>Paris, France</t>
  </si>
  <si>
    <t>390</t>
  </si>
  <si>
    <t>+33175617800</t>
  </si>
  <si>
    <t>sel alimentaire, sel pour lindustrie, sel de deneigement, tourisme, cosmetiques</t>
  </si>
  <si>
    <t>criboux@salins.com</t>
  </si>
  <si>
    <t>Kim</t>
  </si>
  <si>
    <t>Hs</t>
  </si>
  <si>
    <t>Sun Metals Corporation Pty Ltd</t>
  </si>
  <si>
    <t>Townsville, Australia</t>
  </si>
  <si>
    <t>170</t>
  </si>
  <si>
    <t>+61747266601</t>
  </si>
  <si>
    <t>software, data, accounting, information technology</t>
  </si>
  <si>
    <t>kimh@sunmetals.com.au</t>
  </si>
  <si>
    <t>Hayden</t>
  </si>
  <si>
    <t>Bartrop</t>
  </si>
  <si>
    <t>Lunnon Metals Ltd</t>
  </si>
  <si>
    <t>+61864248848</t>
  </si>
  <si>
    <t>project evaluation, development finance, construction, mining, investment</t>
  </si>
  <si>
    <t>hbartrop@lunnonmetals.com.au</t>
  </si>
  <si>
    <t>Eugene</t>
  </si>
  <si>
    <t>Ferla</t>
  </si>
  <si>
    <t>Director, Founder</t>
  </si>
  <si>
    <t>URO Corporation</t>
  </si>
  <si>
    <t>mining, gold, rare earths, geology, energytransition, uranium, copper, exploration, lithium</t>
  </si>
  <si>
    <t>eugeneferla@urocorp.com.au</t>
  </si>
  <si>
    <t>Gary</t>
  </si>
  <si>
    <t>Fietz</t>
  </si>
  <si>
    <t>Director and Principal Consultant</t>
  </si>
  <si>
    <t>WideRange Consulting Pty Ltd</t>
  </si>
  <si>
    <t>+61408489957</t>
  </si>
  <si>
    <t>gary@widerange.net.au</t>
  </si>
  <si>
    <t>Dwight</t>
  </si>
  <si>
    <t>Hannah</t>
  </si>
  <si>
    <t>Profile Extrusion Company</t>
  </si>
  <si>
    <t>Louisville, Kentucky</t>
  </si>
  <si>
    <t>(812)-897-3504</t>
  </si>
  <si>
    <t>aluminum extrusion, fabrication, precision engineering</t>
  </si>
  <si>
    <t>dhannah@profile-extrusion.com</t>
  </si>
  <si>
    <t>Andersson</t>
  </si>
  <si>
    <t>CEO/Founder</t>
  </si>
  <si>
    <t>Swedblast AB</t>
  </si>
  <si>
    <t>Jönköping, Sweden</t>
  </si>
  <si>
    <t>+46765608011</t>
  </si>
  <si>
    <t>daniel@vaportech.se</t>
  </si>
  <si>
    <t>Ruby</t>
  </si>
  <si>
    <t>Lowe</t>
  </si>
  <si>
    <t>Director of Marketing</t>
  </si>
  <si>
    <t>R.J. Enterprises</t>
  </si>
  <si>
    <t>Whitby, Canada</t>
  </si>
  <si>
    <t>rlowe@rj-enterprises.com</t>
  </si>
  <si>
    <t>R------</t>
  </si>
  <si>
    <t>Customer Service and Purchasing Manager</t>
  </si>
  <si>
    <t>Coilplus, Inc.</t>
  </si>
  <si>
    <t>Plainfield, Illinois</t>
  </si>
  <si>
    <t>(215)-331-5200</t>
  </si>
  <si>
    <t>brande@coilplus.com</t>
  </si>
  <si>
    <t>Carter</t>
  </si>
  <si>
    <t>Principal Hazmat Consultant/General Manager</t>
  </si>
  <si>
    <t>RED OHMS Group</t>
  </si>
  <si>
    <t>39</t>
  </si>
  <si>
    <t>chris.carter@redohmsgroup.com.au</t>
  </si>
  <si>
    <t>Piotr</t>
  </si>
  <si>
    <t>Duda</t>
  </si>
  <si>
    <t>President &amp; CEO</t>
  </si>
  <si>
    <t>Polbrass Sp. z o.o.</t>
  </si>
  <si>
    <t>Bielsko-Biala, Poland</t>
  </si>
  <si>
    <t>+4833488516</t>
  </si>
  <si>
    <t>nonferrous metal products, brass, copper, bronze</t>
  </si>
  <si>
    <t>p.duda@polbrass.pl</t>
  </si>
  <si>
    <t>Karim</t>
  </si>
  <si>
    <t>Khobiza</t>
  </si>
  <si>
    <t>Foreign Purchasing Senior Manager - Raw Materials and Refractories</t>
  </si>
  <si>
    <t>Al Ezz Dekheila Steel Co. EZDK</t>
  </si>
  <si>
    <t>890</t>
  </si>
  <si>
    <t>+20227989900</t>
  </si>
  <si>
    <t>rebar, wire rod, welded wire mesh, hot rolled coil</t>
  </si>
  <si>
    <t>kkhobiza@ezzsteel.com.eg</t>
  </si>
  <si>
    <t>Davide</t>
  </si>
  <si>
    <t>Ovio</t>
  </si>
  <si>
    <t>Procurement &amp; Regulatory Manager</t>
  </si>
  <si>
    <t>SASIL S.r.l.</t>
  </si>
  <si>
    <t>Biella, Italy</t>
  </si>
  <si>
    <t>+3902303126797</t>
  </si>
  <si>
    <t>trattamento rifiuti vetrosi, minerario, risparmio energetico</t>
  </si>
  <si>
    <t>ovio@sasil-life.com</t>
  </si>
  <si>
    <t>Hakan</t>
  </si>
  <si>
    <t>Ozbay</t>
  </si>
  <si>
    <t>purchasing manager</t>
  </si>
  <si>
    <t>Turkey</t>
  </si>
  <si>
    <t>hakan.ozbay@borusanmannesmann.com</t>
  </si>
  <si>
    <t>Wayne</t>
  </si>
  <si>
    <t>Knott</t>
  </si>
  <si>
    <t>Owner and Principal Consultant</t>
  </si>
  <si>
    <t>CorpMin Consulting</t>
  </si>
  <si>
    <t>strategic reviews, change management, operational readiness, feasibility studies &amp; audits</t>
  </si>
  <si>
    <t>wayneknott@corpmin.com.au</t>
  </si>
  <si>
    <t>Jeff</t>
  </si>
  <si>
    <t>Branson</t>
  </si>
  <si>
    <t>JSW Drilling</t>
  </si>
  <si>
    <t>97</t>
  </si>
  <si>
    <t>+61894941352</t>
  </si>
  <si>
    <t>exploration, grade control, drill &amp; blast, blast hole drilling</t>
  </si>
  <si>
    <t>jeff.branson@jswaustralia.com</t>
  </si>
  <si>
    <t>Marilyn</t>
  </si>
  <si>
    <t>Nelson</t>
  </si>
  <si>
    <t>Director of Marketing and Indigenous Relations</t>
  </si>
  <si>
    <t>Industrial Metalwork Inc.</t>
  </si>
  <si>
    <t>(780)-814-8899</t>
  </si>
  <si>
    <t>welding, pipelines, facility construction, pipefitting, industrial painting, process equipment</t>
  </si>
  <si>
    <t>marilyn.nelson@industrialmetalwork.com</t>
  </si>
  <si>
    <t>Rutger</t>
  </si>
  <si>
    <t>Gyllenram</t>
  </si>
  <si>
    <t>Founder and CEO (Kobolde &amp; Partners AB)</t>
  </si>
  <si>
    <t>Kobolde &amp; Partners AB</t>
  </si>
  <si>
    <t>Stockholm, Sweden</t>
  </si>
  <si>
    <t>+4684115770</t>
  </si>
  <si>
    <t>business &amp; operations development in process metallurgy</t>
  </si>
  <si>
    <t>rutger.gyllenram@kobolde.com</t>
  </si>
  <si>
    <t>Ana</t>
  </si>
  <si>
    <t>Fdez</t>
  </si>
  <si>
    <t>Principal CFO</t>
  </si>
  <si>
    <t>EBAKIGROUP</t>
  </si>
  <si>
    <t>Barakaldo, Spain</t>
  </si>
  <si>
    <t>+34943693232</t>
  </si>
  <si>
    <t>granallado, plegado, corte plasma, oxicorte, corte laser</t>
  </si>
  <si>
    <t>ana@ebakilan.com</t>
  </si>
  <si>
    <t>Hassan</t>
  </si>
  <si>
    <t>Talaa</t>
  </si>
  <si>
    <t>Saudi Carbonate Co.</t>
  </si>
  <si>
    <t>+966112651947</t>
  </si>
  <si>
    <t>calcium carbonate &amp; dolomite talc</t>
  </si>
  <si>
    <t>hassan.talaa@saudicarbonate.com</t>
  </si>
  <si>
    <t>McMenamin</t>
  </si>
  <si>
    <t>PROK</t>
  </si>
  <si>
    <t>Australia</t>
  </si>
  <si>
    <t>+61893478500</t>
  </si>
  <si>
    <t>pulleys, idlers, rollers, refurbishment, engineering, composite rollers</t>
  </si>
  <si>
    <t>martin.mcmenamin@prok.com</t>
  </si>
  <si>
    <t>Andrea</t>
  </si>
  <si>
    <t>Singleton</t>
  </si>
  <si>
    <t>Interim CFO</t>
  </si>
  <si>
    <t>Getman Corporation</t>
  </si>
  <si>
    <t>Bangor, Michigan</t>
  </si>
  <si>
    <t>140</t>
  </si>
  <si>
    <t>(269)-427-5611</t>
  </si>
  <si>
    <t>underground mining, diesel equipment, explosive chargers, utility vehicles, hard rock machines, mechanical scalers, mining equipment, production support, mining innovation, purpose built vehicles</t>
  </si>
  <si>
    <t>asingleton@getman.com</t>
  </si>
  <si>
    <t>Marc</t>
  </si>
  <si>
    <t>Vidal</t>
  </si>
  <si>
    <t>VidalTech - Planxisteria Industrial M.Vidal S.L.</t>
  </si>
  <si>
    <t>+34938735537</t>
  </si>
  <si>
    <t>sector ferroviario, sector automocion, sector maquinaria, sector quimico, sector agricola, sector ingenierias</t>
  </si>
  <si>
    <t>marc@vidaltech.net</t>
  </si>
  <si>
    <t>Jorge</t>
  </si>
  <si>
    <t>G.</t>
  </si>
  <si>
    <t>PROLAMSA</t>
  </si>
  <si>
    <t>Monterrey, Mexico</t>
  </si>
  <si>
    <t>+5212814940900</t>
  </si>
  <si>
    <t>tuberia de acero, polines, montenes, perfiles de acero, tableros</t>
  </si>
  <si>
    <t>jorge.g@prolamsa.com</t>
  </si>
  <si>
    <t>New Pacific Metals Corp.</t>
  </si>
  <si>
    <t>(604)-633-1368</t>
  </si>
  <si>
    <t>mining, exploration, project development, silver, bolivia</t>
  </si>
  <si>
    <t>andrew.williams@newpacificmetals.com</t>
  </si>
  <si>
    <t>Karen</t>
  </si>
  <si>
    <t>TOTAL CONCEPTS OF DESIGN, INC</t>
  </si>
  <si>
    <t>Scottsburg, Indiana</t>
  </si>
  <si>
    <t>25</t>
  </si>
  <si>
    <t>(812)-752-6534</t>
  </si>
  <si>
    <t>foam, aluminum, metal, plastic</t>
  </si>
  <si>
    <t>karenm@totalconceptsofdesign.com</t>
  </si>
  <si>
    <t>Stefan</t>
  </si>
  <si>
    <t>Adorjan</t>
  </si>
  <si>
    <t>Technical Marketing Manager</t>
  </si>
  <si>
    <t>stefan.adorjan@rhimagnesita.com</t>
  </si>
  <si>
    <t>Lovald</t>
  </si>
  <si>
    <t>Lundhs</t>
  </si>
  <si>
    <t>Larvik, Norway</t>
  </si>
  <si>
    <t>33</t>
  </si>
  <si>
    <t>+4733121164</t>
  </si>
  <si>
    <t>quarriying, export of natural stone, natural stone kitchen tops, natural stone tiles</t>
  </si>
  <si>
    <t>thomas.lovald@lundhs.no</t>
  </si>
  <si>
    <t>Alessandro</t>
  </si>
  <si>
    <t>Grassia</t>
  </si>
  <si>
    <t>Strategic Procurement Manager</t>
  </si>
  <si>
    <t>AMARI Metall Deutschland GmbH &amp; Co. KG</t>
  </si>
  <si>
    <t>Hamburg, Germany</t>
  </si>
  <si>
    <t>+4941938801610</t>
  </si>
  <si>
    <t>agrassia@amari-metall.de</t>
  </si>
  <si>
    <t>Bastian</t>
  </si>
  <si>
    <t>Peters</t>
  </si>
  <si>
    <t>Director Group Purchasing</t>
  </si>
  <si>
    <t>Wickeder Group</t>
  </si>
  <si>
    <t>Schwerte, Germany</t>
  </si>
  <si>
    <t>bastian.peters@wickeder.de</t>
  </si>
  <si>
    <t>Simon</t>
  </si>
  <si>
    <t>Talkner</t>
  </si>
  <si>
    <t>Manager Online Marketing &amp; E-Commerce</t>
  </si>
  <si>
    <t>Resatur GmbH</t>
  </si>
  <si>
    <t>+4940716629905</t>
  </si>
  <si>
    <t>faechertresore, schluesselausgabesysteme, schluesselorganisation, sonderloesungen, engeneering produktion, schluesseluebergabe, schluesselverwaltung, produktion edelstahlgehaeuse</t>
  </si>
  <si>
    <t>simon.talkner@masunt.com</t>
  </si>
  <si>
    <t>Brice</t>
  </si>
  <si>
    <t>Bassa</t>
  </si>
  <si>
    <t>Directeur Commercial &amp; Marketing</t>
  </si>
  <si>
    <t>Fabrimetal</t>
  </si>
  <si>
    <t>Senegal</t>
  </si>
  <si>
    <t>330</t>
  </si>
  <si>
    <t>Mechanical Or Industrial Engineering, Mining &amp; Metals</t>
  </si>
  <si>
    <t>fm tmt rebars thermo mechanicallytreated steel reinforcement bars</t>
  </si>
  <si>
    <t>brice.bassa@fabrimetal.co.ao</t>
  </si>
  <si>
    <t>Sureyya</t>
  </si>
  <si>
    <t>Kucuk</t>
  </si>
  <si>
    <t>Heper Metal Döküm San. ve Tic. A.Ş.</t>
  </si>
  <si>
    <t>31</t>
  </si>
  <si>
    <t>+902328533023</t>
  </si>
  <si>
    <t>sureyya.kucuk@hepermetal.com</t>
  </si>
  <si>
    <t>Chadwick</t>
  </si>
  <si>
    <t>BMF Metal Fabrication LLC</t>
  </si>
  <si>
    <t>St. Louis, Missouri</t>
  </si>
  <si>
    <t>(636)-295-0157</t>
  </si>
  <si>
    <t>laser  cutting, forming, welding, stainless steel, aluminum, carbon steel, finishing, powder coat, plating</t>
  </si>
  <si>
    <t>mark@bmfmetal.com</t>
  </si>
  <si>
    <t>Richards</t>
  </si>
  <si>
    <t>Arras Minerals Corporation</t>
  </si>
  <si>
    <t>(604)-687-5800</t>
  </si>
  <si>
    <t>mineral exploration, mining, copper, gold, porphyry, epithermal, vms, kazakhstan, resource exploration, natural resources, mineral development</t>
  </si>
  <si>
    <t>crichards@arrasminerals.com</t>
  </si>
  <si>
    <t>Chambers</t>
  </si>
  <si>
    <t>Bendcraft Products</t>
  </si>
  <si>
    <t>Jeeralang, Australia</t>
  </si>
  <si>
    <t>+611300558288</t>
  </si>
  <si>
    <t>fabrication, section rolling, rural fencing, mandrel bending, headbows, hardware, 3d lazer cutting</t>
  </si>
  <si>
    <t>andrew.chambers@bendcraft.com</t>
  </si>
  <si>
    <t>Clegg</t>
  </si>
  <si>
    <t>Consultant / Director</t>
  </si>
  <si>
    <t>Milspec Proficiency Solutions Pty Ltd</t>
  </si>
  <si>
    <t>training design, training systems, front line leadership skills development, change management, proficiency training</t>
  </si>
  <si>
    <t>andrewclegg@milspecps.com.au</t>
  </si>
  <si>
    <t>Spencer</t>
  </si>
  <si>
    <t>Herik</t>
  </si>
  <si>
    <t>Capital Steel &amp; Wire</t>
  </si>
  <si>
    <t>Lansing, Michigan</t>
  </si>
  <si>
    <t>(866)-773-7800</t>
  </si>
  <si>
    <t>cold finishing of steel bar carbon, alloy, saw cutting, shot blasting, inventory management</t>
  </si>
  <si>
    <t>svanherik@capitalsteel.net</t>
  </si>
  <si>
    <t>Christian</t>
  </si>
  <si>
    <t>Prischmann</t>
  </si>
  <si>
    <t>Director Business Development</t>
  </si>
  <si>
    <t>Ulbrich of Austria GmbH</t>
  </si>
  <si>
    <t>cprischmann@ulbrich.com</t>
  </si>
  <si>
    <t>Carmen</t>
  </si>
  <si>
    <t>Cazares</t>
  </si>
  <si>
    <t>Mirasol Resources Ltd.</t>
  </si>
  <si>
    <t>(604)-602-9989</t>
  </si>
  <si>
    <t>gold, silver, copper, chilean exploration, argentine exploration, geology, mineral exploration, project generation</t>
  </si>
  <si>
    <t>carmen.cazares@mirasolresources.com</t>
  </si>
  <si>
    <t>Felix</t>
  </si>
  <si>
    <t>Pertl</t>
  </si>
  <si>
    <t>Arinox Deutschland GmbH</t>
  </si>
  <si>
    <t>Neukirchen-Vluyn, Germany</t>
  </si>
  <si>
    <t>felix.pertl@arinox.it</t>
  </si>
  <si>
    <t>Paul</t>
  </si>
  <si>
    <t>Gerwen</t>
  </si>
  <si>
    <t>NedZink</t>
  </si>
  <si>
    <t>Veldhoven, Netherlands</t>
  </si>
  <si>
    <t>89</t>
  </si>
  <si>
    <t>+31495455700</t>
  </si>
  <si>
    <t>paul.van.gerwen@nedzink.com</t>
  </si>
  <si>
    <t>Heiko</t>
  </si>
  <si>
    <t>Muetzelburg</t>
  </si>
  <si>
    <t>Baltic Structures Company GmbH</t>
  </si>
  <si>
    <t>heiko.muetzelburg@bsc-offshore.de</t>
  </si>
  <si>
    <t>Christoph</t>
  </si>
  <si>
    <t>Eglsaeer</t>
  </si>
  <si>
    <t>Vice President Technical Marketing Flow Control</t>
  </si>
  <si>
    <t>christoph.eglsaeer@rhimagnesita.com</t>
  </si>
  <si>
    <t>Francisco</t>
  </si>
  <si>
    <t>Steel Purchasing Manager</t>
  </si>
  <si>
    <t>Steel Warehouse</t>
  </si>
  <si>
    <t>South Bend, Indiana</t>
  </si>
  <si>
    <t>950</t>
  </si>
  <si>
    <t>(800)-348-2529</t>
  </si>
  <si>
    <t>hot rolled steel, temper pass, cut to length, slitting, high strength, plate</t>
  </si>
  <si>
    <t>franm@steelwarehouse.net</t>
  </si>
  <si>
    <t>Lauren</t>
  </si>
  <si>
    <t>Brown</t>
  </si>
  <si>
    <t>Senior Category Manager - Sustainable Procurement</t>
  </si>
  <si>
    <t>Mineral Resources Limited</t>
  </si>
  <si>
    <t>3,300</t>
  </si>
  <si>
    <t>+61893293600</t>
  </si>
  <si>
    <t>crushing, screening, minerals handling, processing, camp construction, operation, pipeline fabrication, installation, dewatering, mining</t>
  </si>
  <si>
    <t>lauren.brown@mineralresources.com.au</t>
  </si>
  <si>
    <t>Theodore</t>
  </si>
  <si>
    <t>Pagano</t>
  </si>
  <si>
    <t>Founder and CEO</t>
  </si>
  <si>
    <t>Michigan Potash &amp; Salt Company, LLC</t>
  </si>
  <si>
    <t>(231)-577-9616</t>
  </si>
  <si>
    <t>white muriate of potash, water softening salt, food grade kosher salt, deicing salt</t>
  </si>
  <si>
    <t>tpagano@mipotash.com</t>
  </si>
  <si>
    <t>Paddy</t>
  </si>
  <si>
    <t>Nicol</t>
  </si>
  <si>
    <t>Orogen Royalties Inc. | TSX.V:OGN</t>
  </si>
  <si>
    <t>(604)-248-8648</t>
  </si>
  <si>
    <t>generative exploration, joint venture business model, copper, precious metals, gold, royalties, gold royalties</t>
  </si>
  <si>
    <t>paddy@orogenroyalties.com</t>
  </si>
  <si>
    <t>Pal</t>
  </si>
  <si>
    <t>Bjordal</t>
  </si>
  <si>
    <t>GRIPtel</t>
  </si>
  <si>
    <t>Oslo, Norway</t>
  </si>
  <si>
    <t>+4762000845</t>
  </si>
  <si>
    <t>pal.bjordal@griptel.no</t>
  </si>
  <si>
    <t>Torsten</t>
  </si>
  <si>
    <t>Tiefel</t>
  </si>
  <si>
    <t>Silbitz Group GmbH</t>
  </si>
  <si>
    <t>Leipzig, Germany</t>
  </si>
  <si>
    <t>22</t>
  </si>
  <si>
    <t>+49366935790030</t>
  </si>
  <si>
    <t>torsten.tiefel@silbitz-group.com</t>
  </si>
  <si>
    <t>Dashko</t>
  </si>
  <si>
    <t>nick.dashko@emiratessteel.com</t>
  </si>
  <si>
    <t>Austin</t>
  </si>
  <si>
    <t>Roothoff</t>
  </si>
  <si>
    <t>Cementation Americas</t>
  </si>
  <si>
    <t>Herriman, Utah</t>
  </si>
  <si>
    <t>620</t>
  </si>
  <si>
    <t>mine development, shaft sinking, raise boring, mechanized raising, engineering, underground construction, contract mining, project management, material handling design &amp; supply, innovation, design, safety</t>
  </si>
  <si>
    <t>austin.roothoff@cementation.com</t>
  </si>
  <si>
    <t>Kittel</t>
  </si>
  <si>
    <t>kaufmännischer Leiter / CFO</t>
  </si>
  <si>
    <t>gh AUER GUSS GmbH</t>
  </si>
  <si>
    <t>Nuremberg, Germany</t>
  </si>
  <si>
    <t>+49962165820</t>
  </si>
  <si>
    <t>zentrale@auer-metallkomponenten.de</t>
  </si>
  <si>
    <t>Nicholas</t>
  </si>
  <si>
    <t>Drapac</t>
  </si>
  <si>
    <t>Goldstrom</t>
  </si>
  <si>
    <t>gold, physical commodities trading, trade finance, logistics, mining, investment, financial trading, precious metals</t>
  </si>
  <si>
    <t>nick@goldstromgroup.com</t>
  </si>
  <si>
    <t>Brad</t>
  </si>
  <si>
    <t>Vice President/CFO</t>
  </si>
  <si>
    <t>Premium Mechanical Group</t>
  </si>
  <si>
    <t>Greenfield, Indiana</t>
  </si>
  <si>
    <t>63</t>
  </si>
  <si>
    <t>+61893147182</t>
  </si>
  <si>
    <t>road transport repair services, onsite rebuilds, labour hire, auto electrical &amp; air conditioning, shutdown services, mining equipment maintenance, field services</t>
  </si>
  <si>
    <t>bpartin@premiummechanicalllc.com</t>
  </si>
  <si>
    <t>Ed</t>
  </si>
  <si>
    <t>Director of Business Development</t>
  </si>
  <si>
    <t>Fatih</t>
  </si>
  <si>
    <t>Keles</t>
  </si>
  <si>
    <t>GÖKYAR MERMER</t>
  </si>
  <si>
    <t>+902283614700</t>
  </si>
  <si>
    <t>marble, export, travertine, stone products, natural stone</t>
  </si>
  <si>
    <t>fatih@gokyarmermer.com</t>
  </si>
  <si>
    <t>300</t>
  </si>
  <si>
    <t>James</t>
  </si>
  <si>
    <t>Keefer</t>
  </si>
  <si>
    <t>MCC International Inc.</t>
  </si>
  <si>
    <t>McDonald, Pennsylvania</t>
  </si>
  <si>
    <t>(724)-745-0300</t>
  </si>
  <si>
    <t>jkeefer@mccintl.com</t>
  </si>
  <si>
    <t>Filiz</t>
  </si>
  <si>
    <t>Efil</t>
  </si>
  <si>
    <t>CH Engineering &amp; Construction</t>
  </si>
  <si>
    <t>Ankara, Turkey</t>
  </si>
  <si>
    <t>71</t>
  </si>
  <si>
    <t>+903124907007</t>
  </si>
  <si>
    <t>engineering, construction, ore beneficiation plant, ore beneficiation, epc project works</t>
  </si>
  <si>
    <t>f.efil@chconsultants.com</t>
  </si>
  <si>
    <t>Rodolfo</t>
  </si>
  <si>
    <t>Lorca</t>
  </si>
  <si>
    <t>SUINCO  S.A.</t>
  </si>
  <si>
    <t>desmoldantes industriales</t>
  </si>
  <si>
    <t>rlb@suinco.cl</t>
  </si>
  <si>
    <t>Seren</t>
  </si>
  <si>
    <t>Zhang</t>
  </si>
  <si>
    <t>International Sales Marketing Manager</t>
  </si>
  <si>
    <t>Huayang Steel Pipe-Ms. Alice</t>
  </si>
  <si>
    <t>Shijiazhuang, China</t>
  </si>
  <si>
    <t>+8631189893966</t>
  </si>
  <si>
    <t>seamless pipe, electrical resistance weld, erw, lsaw, welded tube, stainless pipe</t>
  </si>
  <si>
    <t>seren@hbhuayang.com</t>
  </si>
  <si>
    <t>Ahmer</t>
  </si>
  <si>
    <t>U.S. Silica Company</t>
  </si>
  <si>
    <t>New York, New York</t>
  </si>
  <si>
    <t>840</t>
  </si>
  <si>
    <t>(281)-258-2170</t>
  </si>
  <si>
    <t>manufacturing, silica sand</t>
  </si>
  <si>
    <t>ahmer@ussilica.com</t>
  </si>
  <si>
    <t>Jim</t>
  </si>
  <si>
    <t>Petronella</t>
  </si>
  <si>
    <t>Museta</t>
  </si>
  <si>
    <t>Director, Principal Consultant (Resource Modelling)</t>
  </si>
  <si>
    <t>UGES Consultants</t>
  </si>
  <si>
    <t>Namibia</t>
  </si>
  <si>
    <t>resource modeling, mineral exploration, resource estimation, geostatistical modeling, mining geology, sampling &amp; qaqc</t>
  </si>
  <si>
    <t>petronella@ugesconsult.com</t>
  </si>
  <si>
    <t>Cindy</t>
  </si>
  <si>
    <t>Premier Metal Services, LLC</t>
  </si>
  <si>
    <t>Aurora, Ohio</t>
  </si>
  <si>
    <t>(440)-519-1104</t>
  </si>
  <si>
    <t>non ferrous metal &amp; copper, aluminum, stainless, brass brokerage</t>
  </si>
  <si>
    <t>cmackow@premiermetalservices.com</t>
  </si>
  <si>
    <t>Lidinsky</t>
  </si>
  <si>
    <t>Purchasing &amp; Business Development Manager</t>
  </si>
  <si>
    <t>Oscar Winski Company &amp; Lafayette Steel and Aluminum</t>
  </si>
  <si>
    <t>(765)-742-1102</t>
  </si>
  <si>
    <t>lidinskyw@oscarwinski.com</t>
  </si>
  <si>
    <t>Alvin</t>
  </si>
  <si>
    <t>Ciscp</t>
  </si>
  <si>
    <t>ArcelorMittal Mining</t>
  </si>
  <si>
    <t>Monrovia, Liberia</t>
  </si>
  <si>
    <t>37</t>
  </si>
  <si>
    <t>mining, processing, exploration, iron ore, metals</t>
  </si>
  <si>
    <t>alvin.ciscp@arcelormittal.com</t>
  </si>
  <si>
    <t>Oportus</t>
  </si>
  <si>
    <t>Chief Executive Officer CEO</t>
  </si>
  <si>
    <t>FOSTER ING S.A.</t>
  </si>
  <si>
    <t>Valparaiso, Chile</t>
  </si>
  <si>
    <t>moportus@fostering.cl</t>
  </si>
  <si>
    <t>Renan</t>
  </si>
  <si>
    <t>Komurcuoglu</t>
  </si>
  <si>
    <t>BURÇELİK A.Ş.</t>
  </si>
  <si>
    <t>56</t>
  </si>
  <si>
    <t>+902242431107</t>
  </si>
  <si>
    <t>mobil paletli kirma uniteleri, cenelidarbelikonik kiricilar</t>
  </si>
  <si>
    <t>renan.komurcuoglu@burcelikvana.com</t>
  </si>
  <si>
    <t>Maya</t>
  </si>
  <si>
    <t>Meng</t>
  </si>
  <si>
    <t>International Marketing Manager</t>
  </si>
  <si>
    <t>Jiaozuo Huafei Electronic &amp; Electric Co., Ltd.</t>
  </si>
  <si>
    <t>Jiaozuo, China</t>
  </si>
  <si>
    <t>mechanical electrical industry, petrochemical industry, nonferrous metals industry, coal mine, ore mine, petroleum gas industry, electric power industry, steel industry, mining &amp; mining industry</t>
  </si>
  <si>
    <t>mmeng@intelligentmine.com</t>
  </si>
  <si>
    <t>T.</t>
  </si>
  <si>
    <t>DT Equipment Repair Inc.</t>
  </si>
  <si>
    <t>Penticton, Canada</t>
  </si>
  <si>
    <t>(778)-220-6687</t>
  </si>
  <si>
    <t>heavy duty mechanics, logging, heavy equipment repair, mining, oil gas</t>
  </si>
  <si>
    <t>david@dtequipmentrepair.com</t>
  </si>
  <si>
    <t>Keerti</t>
  </si>
  <si>
    <t>Lilac Solutions, Inc.</t>
  </si>
  <si>
    <t>San Francisco, California</t>
  </si>
  <si>
    <t>250</t>
  </si>
  <si>
    <t>(401)-714-7906</t>
  </si>
  <si>
    <t>mining technologies, batteries, hardware, information technology</t>
  </si>
  <si>
    <t>keerti@lilacsolutions.com</t>
  </si>
  <si>
    <t>Bobby</t>
  </si>
  <si>
    <t>Marwaha</t>
  </si>
  <si>
    <t>R&amp;T Stainless</t>
  </si>
  <si>
    <t>abm@rt-stainless.com</t>
  </si>
  <si>
    <t>Uli</t>
  </si>
  <si>
    <t>Auer</t>
  </si>
  <si>
    <t>Pyrotek</t>
  </si>
  <si>
    <t>Mögglingen, Germany</t>
  </si>
  <si>
    <t>(509)-926-6212</t>
  </si>
  <si>
    <t>uliaue@pyrotek.com</t>
  </si>
  <si>
    <t>George</t>
  </si>
  <si>
    <t>Cumplido</t>
  </si>
  <si>
    <t>AusVan Battery Metals Pty Ltd</t>
  </si>
  <si>
    <t>low emissions, vanadium, hpa, critical minerals, rare earths, decarbonisation</t>
  </si>
  <si>
    <t>george.cumplido@ausvanminerals.com.au</t>
  </si>
  <si>
    <t>Dean</t>
  </si>
  <si>
    <t>Cryer</t>
  </si>
  <si>
    <t>MAGSHIELD®</t>
  </si>
  <si>
    <t>(855)-984-8647</t>
  </si>
  <si>
    <t>dean.cryer@magshield.com</t>
  </si>
  <si>
    <t>Eyre</t>
  </si>
  <si>
    <t>STERLING COMMODITIES LIMITED</t>
  </si>
  <si>
    <t>Sheffield, United Kingdom</t>
  </si>
  <si>
    <t>+441142611539</t>
  </si>
  <si>
    <t>daniel@sterlingcommodities.co.uk</t>
  </si>
  <si>
    <t>Diaz</t>
  </si>
  <si>
    <t>CUPRUM</t>
  </si>
  <si>
    <t>copper cathode, copper cathode &amp; copper rod, copper rod</t>
  </si>
  <si>
    <t>francisco.diaz@cuprum.com</t>
  </si>
  <si>
    <t>Greger</t>
  </si>
  <si>
    <t>Spetz</t>
  </si>
  <si>
    <t>act. Head of Asset Management</t>
  </si>
  <si>
    <t>Boliden</t>
  </si>
  <si>
    <t>Skellefteå, Sweden</t>
  </si>
  <si>
    <t>+4686101500</t>
  </si>
  <si>
    <t>metals, smelting, mining, refining &amp; recycling</t>
  </si>
  <si>
    <t>greger.spetz@boliden.com</t>
  </si>
  <si>
    <t>Emanuel</t>
  </si>
  <si>
    <t>Diteresi</t>
  </si>
  <si>
    <t>Vice President and CFO</t>
  </si>
  <si>
    <t>Searles Valley Minerals</t>
  </si>
  <si>
    <t>Overland Park, Kansas</t>
  </si>
  <si>
    <t>340</t>
  </si>
  <si>
    <t>(913)-344-9500</t>
  </si>
  <si>
    <t>soda ash, boron products, sulfates</t>
  </si>
  <si>
    <t>diteresi@svminerals.com</t>
  </si>
  <si>
    <t>Carlos</t>
  </si>
  <si>
    <t>Cuello</t>
  </si>
  <si>
    <t>CEO &amp; Consultor Fundador</t>
  </si>
  <si>
    <t>smalldataX</t>
  </si>
  <si>
    <t>Casablanca, Chile</t>
  </si>
  <si>
    <t>carlos.cuello@smalldatax.com</t>
  </si>
  <si>
    <t>Alistair</t>
  </si>
  <si>
    <t>Stobie</t>
  </si>
  <si>
    <t>Tungsten West plc</t>
  </si>
  <si>
    <t>Plymouth, United Kingdom</t>
  </si>
  <si>
    <t>28</t>
  </si>
  <si>
    <t>+441752278500</t>
  </si>
  <si>
    <t>alistair.stobie@tungstenwest.com</t>
  </si>
  <si>
    <t>Jentz</t>
  </si>
  <si>
    <t>Latitude Uranium</t>
  </si>
  <si>
    <t>(647)-557-6640</t>
  </si>
  <si>
    <t>jjentz@labradoruranium.com</t>
  </si>
  <si>
    <t>Ivonne</t>
  </si>
  <si>
    <t>Friedrich</t>
  </si>
  <si>
    <t>Manager Purchasing</t>
  </si>
  <si>
    <t>Auerhammer Metallwerk GmbH</t>
  </si>
  <si>
    <t>Saxony, Germany</t>
  </si>
  <si>
    <t>+4937712720</t>
  </si>
  <si>
    <t>clad materials, thermostatic bimetals, metal foils, special alloys</t>
  </si>
  <si>
    <t>ivonne.friedrich@auerhammer.com</t>
  </si>
  <si>
    <t>Johannes</t>
  </si>
  <si>
    <t>Kaltenegger</t>
  </si>
  <si>
    <t>Head of Global Freight Procurement</t>
  </si>
  <si>
    <t>johannes.kaltenegger@rhimagnesita.com</t>
  </si>
  <si>
    <t>Miriam</t>
  </si>
  <si>
    <t>Hoekstra</t>
  </si>
  <si>
    <t>Corus</t>
  </si>
  <si>
    <t>Netherlands</t>
  </si>
  <si>
    <t>860</t>
  </si>
  <si>
    <t>+31251499111</t>
  </si>
  <si>
    <t>steel manufacture &amp; distribution</t>
  </si>
  <si>
    <t>miriam.hoekstra@tatasteeleurope.com</t>
  </si>
  <si>
    <t>Britnee</t>
  </si>
  <si>
    <t>Sexton</t>
  </si>
  <si>
    <t>Lexington, Kentucky</t>
  </si>
  <si>
    <t>britnee@statelinesteel.com</t>
  </si>
  <si>
    <t>Andy</t>
  </si>
  <si>
    <t>Debernardis</t>
  </si>
  <si>
    <t>Worldwide Storage Portfolio Marketing Manager</t>
  </si>
  <si>
    <t>HPE</t>
  </si>
  <si>
    <t>+27114621903</t>
  </si>
  <si>
    <t>andy.debernardis@hpe.com</t>
  </si>
  <si>
    <t>Ville</t>
  </si>
  <si>
    <t>Hakala</t>
  </si>
  <si>
    <t>VP, Sales &amp; Marketing</t>
  </si>
  <si>
    <t>ville.hakala@ima.fi</t>
  </si>
  <si>
    <t>CBR Gold Corp.</t>
  </si>
  <si>
    <t>(604)-646-4523</t>
  </si>
  <si>
    <t>johnw@discoveryexp.com</t>
  </si>
  <si>
    <t>Gazembiler</t>
  </si>
  <si>
    <t>Head of Sales &amp; Marketing</t>
  </si>
  <si>
    <t>Engineering Dobersek GmbH</t>
  </si>
  <si>
    <t>Mönchengladbach, Germany</t>
  </si>
  <si>
    <t>+497273210286</t>
  </si>
  <si>
    <t>jakob.gazembiler@ed-mg.de</t>
  </si>
  <si>
    <t>Eric</t>
  </si>
  <si>
    <t>U.S. Gold Corp.</t>
  </si>
  <si>
    <t>Littleton, Colorado</t>
  </si>
  <si>
    <t>(800)-557-4550</t>
  </si>
  <si>
    <t>ea@usgoldcorp.gold</t>
  </si>
  <si>
    <t>Orsi</t>
  </si>
  <si>
    <t>Sales &amp; Marketing Director</t>
  </si>
  <si>
    <t>Laus1158 - Special Material Handling</t>
  </si>
  <si>
    <t>Lodi, Italy</t>
  </si>
  <si>
    <t>a.orsi@specialmaterialhandling.com</t>
  </si>
  <si>
    <t>Judy</t>
  </si>
  <si>
    <t>Baker</t>
  </si>
  <si>
    <t>Argo Gold Inc.</t>
  </si>
  <si>
    <t>(416)-361-2515</t>
  </si>
  <si>
    <t>jbaker@argogold.ca</t>
  </si>
  <si>
    <t>Esther</t>
  </si>
  <si>
    <t>Chin</t>
  </si>
  <si>
    <t>Ipoh, Malaysia</t>
  </si>
  <si>
    <t>esther.chin@omya.com</t>
  </si>
  <si>
    <t>Nikeisha</t>
  </si>
  <si>
    <t>Joseph</t>
  </si>
  <si>
    <t>Senior Procurement Category Manager</t>
  </si>
  <si>
    <t>Gerdau North America</t>
  </si>
  <si>
    <t>Saint Petersburg, Florida</t>
  </si>
  <si>
    <t>+555133232000</t>
  </si>
  <si>
    <t>njoseph@gerdauameristeel.com</t>
  </si>
  <si>
    <t>Savo</t>
  </si>
  <si>
    <t>Djustibek</t>
  </si>
  <si>
    <t>Head of Aluminium Scrap Procurement</t>
  </si>
  <si>
    <t>Aluminij Industries d.o.o.</t>
  </si>
  <si>
    <t>Slovenia</t>
  </si>
  <si>
    <t>+38736375457</t>
  </si>
  <si>
    <t>s.djustibek@aluminij.ba</t>
  </si>
  <si>
    <t>Rishi</t>
  </si>
  <si>
    <t>K------</t>
  </si>
  <si>
    <t>Santa Clarita, California</t>
  </si>
  <si>
    <t>rishi.kaila@rhimagnesita.com</t>
  </si>
  <si>
    <t>Niklas</t>
  </si>
  <si>
    <t>Marklund</t>
  </si>
  <si>
    <t>Sourcing Manager</t>
  </si>
  <si>
    <t>Hedemora, Sweden</t>
  </si>
  <si>
    <t>niklas.marklund@boliden.com</t>
  </si>
  <si>
    <t>Liliya</t>
  </si>
  <si>
    <t>Satalkina</t>
  </si>
  <si>
    <t>Mining Solutions</t>
  </si>
  <si>
    <t>liliya@mining-solutions.com.au</t>
  </si>
  <si>
    <t>Vickie</t>
  </si>
  <si>
    <t>Somers</t>
  </si>
  <si>
    <t>ILSCO Extrusions Inc.</t>
  </si>
  <si>
    <t>Greenville, Pennsylvania</t>
  </si>
  <si>
    <t>(724)-589-5888</t>
  </si>
  <si>
    <t>vsomers@ilsco.com</t>
  </si>
  <si>
    <t>Tara</t>
  </si>
  <si>
    <t>Marano</t>
  </si>
  <si>
    <t>Director Of Procurement</t>
  </si>
  <si>
    <t>Texas United Management Corporation</t>
  </si>
  <si>
    <t>tmarano@tum.com</t>
  </si>
  <si>
    <t>Mason</t>
  </si>
  <si>
    <t>Jayden</t>
  </si>
  <si>
    <t>Copper Creek Gold Corp (TSX.V: CPV)</t>
  </si>
  <si>
    <t>(888)-694-6735</t>
  </si>
  <si>
    <t>mason@coppercreekgold.com</t>
  </si>
  <si>
    <t>Craig</t>
  </si>
  <si>
    <t>Schofield</t>
  </si>
  <si>
    <t>S E C Plating Pty Ltd</t>
  </si>
  <si>
    <t>+61297508011</t>
  </si>
  <si>
    <t>craig@secp.net</t>
  </si>
  <si>
    <t>Mauricio</t>
  </si>
  <si>
    <t>Gonzales</t>
  </si>
  <si>
    <t>Procurement/Project Manager</t>
  </si>
  <si>
    <t>L&amp;L Fabrication Inc.</t>
  </si>
  <si>
    <t>Loveland, Colorado</t>
  </si>
  <si>
    <t>(307)-358-5834</t>
  </si>
  <si>
    <t>mgonzales@lnlfab.com</t>
  </si>
  <si>
    <t>Aikins</t>
  </si>
  <si>
    <t>Asare</t>
  </si>
  <si>
    <t>Finance &amp; Business Development Manager</t>
  </si>
  <si>
    <t>DIRECT MATERIAL SUPPLIES (D.M.S)</t>
  </si>
  <si>
    <t>Ghana</t>
  </si>
  <si>
    <t>(302)-633-3000</t>
  </si>
  <si>
    <t>aikins.asare@dmsupplies.com</t>
  </si>
  <si>
    <t>Anton</t>
  </si>
  <si>
    <t>Colon</t>
  </si>
  <si>
    <t>The Nugent Sand Company, Inc.</t>
  </si>
  <si>
    <t>Muskegon, Michigan</t>
  </si>
  <si>
    <t>(231)-755-1686</t>
  </si>
  <si>
    <t>acolon@nugsand.com</t>
  </si>
  <si>
    <t>Claude</t>
  </si>
  <si>
    <t>Vanvoren</t>
  </si>
  <si>
    <t>ICSOBA</t>
  </si>
  <si>
    <t>La Murette, France</t>
  </si>
  <si>
    <t>claude.vanvoren@icsoba.org</t>
  </si>
  <si>
    <t>Ingo</t>
  </si>
  <si>
    <t>Wender</t>
  </si>
  <si>
    <t>Founder &amp; President</t>
  </si>
  <si>
    <t>Advanced Potash Technologies</t>
  </si>
  <si>
    <t>Rio de Janeiro, Brazil</t>
  </si>
  <si>
    <t>(781)-995-5120</t>
  </si>
  <si>
    <t>fertilizer, agriculture, geology, chemistry</t>
  </si>
  <si>
    <t>ingo.wender@advancedpotash.com</t>
  </si>
  <si>
    <t>Michele</t>
  </si>
  <si>
    <t>Andrello</t>
  </si>
  <si>
    <t>AK Steel Corporation</t>
  </si>
  <si>
    <t>Genoa, Italy</t>
  </si>
  <si>
    <t>2,600</t>
  </si>
  <si>
    <t>(724)-284-2000</t>
  </si>
  <si>
    <t>michele.andrello@aksteel.eu</t>
  </si>
  <si>
    <t>Business Development Manager - Technical Sales</t>
  </si>
  <si>
    <t>Turbospec LLC</t>
  </si>
  <si>
    <t>San Diego, California</t>
  </si>
  <si>
    <t>hugo.rosini@turbospecllc.com</t>
  </si>
  <si>
    <t>Co-Founder</t>
  </si>
  <si>
    <t>Strickland</t>
  </si>
  <si>
    <t>Director, FP&amp;A</t>
  </si>
  <si>
    <t>USA Rare Earth, LLC</t>
  </si>
  <si>
    <t>40</t>
  </si>
  <si>
    <t>(212)-739-0468</t>
  </si>
  <si>
    <t>kevin.strickland@usare.com</t>
  </si>
  <si>
    <t>Ryan</t>
  </si>
  <si>
    <t>Senior Manager - Strategic Planning and Analysis</t>
  </si>
  <si>
    <t>Glencore Copper</t>
  </si>
  <si>
    <t>1,500</t>
  </si>
  <si>
    <t>andrew.ryan2@glencore.com.au</t>
  </si>
  <si>
    <t>Drew</t>
  </si>
  <si>
    <t>Ramos</t>
  </si>
  <si>
    <t>Ramos Builders Inc</t>
  </si>
  <si>
    <t>Cape Coral, Florida</t>
  </si>
  <si>
    <t>(239)-540-3566</t>
  </si>
  <si>
    <t>drew@capecoralbuilder.com</t>
  </si>
  <si>
    <t>N------</t>
  </si>
  <si>
    <t>Acme Wire Products, LLC</t>
  </si>
  <si>
    <t>(708)-345-4430</t>
  </si>
  <si>
    <t>wire forms, stainless steel, custom tooling, us manufacturer</t>
  </si>
  <si>
    <t>dnevarez@acmewirepro.com</t>
  </si>
  <si>
    <t>Sue</t>
  </si>
  <si>
    <t>Hoy</t>
  </si>
  <si>
    <t>Rutherford Electrical Engineering Services Pty Ltd</t>
  </si>
  <si>
    <t>high voltage, electronics, communications, cctv</t>
  </si>
  <si>
    <t>shoy@ruthelect.com.au</t>
  </si>
  <si>
    <t>Wendy</t>
  </si>
  <si>
    <t>Gong</t>
  </si>
  <si>
    <t>Dongguan Jugo Magnet Co.,Ltd</t>
  </si>
  <si>
    <t>Dongguan, China</t>
  </si>
  <si>
    <t>wendy@jugomagnet.com</t>
  </si>
  <si>
    <t>Armco</t>
  </si>
  <si>
    <t>Rotella</t>
  </si>
  <si>
    <t>Votorantim Siderurgia</t>
  </si>
  <si>
    <t>Brazil</t>
  </si>
  <si>
    <t>+558000151221</t>
  </si>
  <si>
    <t>acos longos e planos, mineracao, sucata metalica, distribuicao</t>
  </si>
  <si>
    <t>armco.rotella@arcelormittal.com.br</t>
  </si>
  <si>
    <t>Wolfsbauer</t>
  </si>
  <si>
    <t>Head of FP&amp;A Europe, CIS &amp; Turkey</t>
  </si>
  <si>
    <t>roman.wolfsbauer@rhimagnesita.com</t>
  </si>
  <si>
    <t>Dale</t>
  </si>
  <si>
    <t>Nagy</t>
  </si>
  <si>
    <t>President / founder</t>
  </si>
  <si>
    <t>Metal Technologies</t>
  </si>
  <si>
    <t>Punxsutawney, Pennsylvania</t>
  </si>
  <si>
    <t>480</t>
  </si>
  <si>
    <t>(260)-925-4717</t>
  </si>
  <si>
    <t>ductile iron castings, grey iron castings, machining</t>
  </si>
  <si>
    <t>dnagy@metal-technologies.com</t>
  </si>
  <si>
    <t>Matt</t>
  </si>
  <si>
    <t>Gordon</t>
  </si>
  <si>
    <t>R.</t>
  </si>
  <si>
    <t>Northern Ray</t>
  </si>
  <si>
    <t>+6569015243</t>
  </si>
  <si>
    <t>gordon.ross@northernray.com</t>
  </si>
  <si>
    <t>Britt</t>
  </si>
  <si>
    <t>Bluemel</t>
  </si>
  <si>
    <t>Global Business Development Manager</t>
  </si>
  <si>
    <t>ALS GoldSpot Discoveries Ltd.</t>
  </si>
  <si>
    <t>61</t>
  </si>
  <si>
    <t>(647)-345-7720</t>
  </si>
  <si>
    <t>mining, machine learning, data science, artifical intelligence, analytics</t>
  </si>
  <si>
    <t>britt@goldspot.ca</t>
  </si>
  <si>
    <t>Damiano</t>
  </si>
  <si>
    <t>Chiminello</t>
  </si>
  <si>
    <t>Chiminello Srl</t>
  </si>
  <si>
    <t>Vicenza, Italy</t>
  </si>
  <si>
    <t>metallurgica, siderurgica, lamiere, coils, carpenteria leggera, produzione laminati</t>
  </si>
  <si>
    <t>damiano@chiminello.it</t>
  </si>
  <si>
    <t>Bolas</t>
  </si>
  <si>
    <t>DyCast Specialties Corporation</t>
  </si>
  <si>
    <t>Starbuck, Minnesota</t>
  </si>
  <si>
    <t>(800)-663-3481</t>
  </si>
  <si>
    <t>castings, die casting &amp; castings, die casting</t>
  </si>
  <si>
    <t>ebolas@dycastspec.com</t>
  </si>
  <si>
    <t>Riccardo</t>
  </si>
  <si>
    <t>Magrofuoco</t>
  </si>
  <si>
    <t>Marketing Manager Excellence &amp; Solution - South Europe -  Mini Mills &amp; Stainless</t>
  </si>
  <si>
    <t>Treviso, Italy</t>
  </si>
  <si>
    <t>riccardo.magrofuoco@rhimagnesita.com</t>
  </si>
  <si>
    <t>Alec</t>
  </si>
  <si>
    <t>Sellem</t>
  </si>
  <si>
    <t>as@unimetals.com</t>
  </si>
  <si>
    <t>Deutsch</t>
  </si>
  <si>
    <t>Director and Consulting Geometallurgist and Geostatistician</t>
  </si>
  <si>
    <t>Resource Modeling Solutions</t>
  </si>
  <si>
    <t>resource model consulting, resource modeling software, geostatistics, geometallurgy, resource model training</t>
  </si>
  <si>
    <t>jared@resmodsol.com</t>
  </si>
  <si>
    <t>Patterson</t>
  </si>
  <si>
    <t>Commodity Buyer / logistics manager</t>
  </si>
  <si>
    <t>McKenzies (NI) Limited</t>
  </si>
  <si>
    <t>Belfast, United Kingdom</t>
  </si>
  <si>
    <t>metal recycling, facilities management, construction, property development &amp; leasing</t>
  </si>
  <si>
    <t>paul.patterson@mckenziesni.com</t>
  </si>
  <si>
    <t>Sanny</t>
  </si>
  <si>
    <t>Tianjin Xinyue Steel Group</t>
  </si>
  <si>
    <t>Changsha, China</t>
  </si>
  <si>
    <t>line pipes, hollow sections, piles</t>
  </si>
  <si>
    <t>sanny@xinyuesteel.com</t>
  </si>
  <si>
    <t>Howard</t>
  </si>
  <si>
    <t>Steinberg</t>
  </si>
  <si>
    <t>Reldan</t>
  </si>
  <si>
    <t>Warminster, Pennsylvania</t>
  </si>
  <si>
    <t>95</t>
  </si>
  <si>
    <t>(267)-316-2000</t>
  </si>
  <si>
    <t>recycling &amp; precious metals</t>
  </si>
  <si>
    <t>hsteinberg@reldan.com</t>
  </si>
  <si>
    <t>Kiran</t>
  </si>
  <si>
    <t>M.</t>
  </si>
  <si>
    <t>Cadence Minerals Plc</t>
  </si>
  <si>
    <t>+442074400647</t>
  </si>
  <si>
    <t>investment management, active investor, exploration, rare earth minerals, lithium, mining</t>
  </si>
  <si>
    <t>kiran@cadenceminerals.com</t>
  </si>
  <si>
    <t>Michael</t>
  </si>
  <si>
    <t>Berns</t>
  </si>
  <si>
    <t>Founder &amp; Executive Chairman</t>
  </si>
  <si>
    <t>Gold Candle Ltd.</t>
  </si>
  <si>
    <t>mining, geology, exploration</t>
  </si>
  <si>
    <t>mberns@goldcandle.com</t>
  </si>
  <si>
    <t>Viktoria</t>
  </si>
  <si>
    <t>Skantz</t>
  </si>
  <si>
    <t>Stena Stål</t>
  </si>
  <si>
    <t>Gothenburg, Sweden</t>
  </si>
  <si>
    <t>160</t>
  </si>
  <si>
    <t>+46104450000</t>
  </si>
  <si>
    <t>viktoria.skantz@stenastal.se</t>
  </si>
  <si>
    <t>Ivia</t>
  </si>
  <si>
    <t>Rocafort</t>
  </si>
  <si>
    <t>Chief Financial Officer, Oil &amp; Gas</t>
  </si>
  <si>
    <t>Richmond, Texas</t>
  </si>
  <si>
    <t>irocafort@ussilica.com</t>
  </si>
  <si>
    <t>Bernard</t>
  </si>
  <si>
    <t>Voss</t>
  </si>
  <si>
    <t>Isomatex SA</t>
  </si>
  <si>
    <t>Liège, Belgium</t>
  </si>
  <si>
    <t>+3281728686</t>
  </si>
  <si>
    <t>bernard.voss@isomatex.com</t>
  </si>
  <si>
    <t>Bamber</t>
  </si>
  <si>
    <t>Head of London Marketing</t>
  </si>
  <si>
    <t>Fission Uranium Corp</t>
  </si>
  <si>
    <t>(250)-868-8140</t>
  </si>
  <si>
    <t>uranium exploration &amp; development</t>
  </si>
  <si>
    <t>marc@fissionuranium.com</t>
  </si>
  <si>
    <t>Sean</t>
  </si>
  <si>
    <t>Westbrook</t>
  </si>
  <si>
    <t>Consultant Exploration Manager</t>
  </si>
  <si>
    <t>Flynn Gold</t>
  </si>
  <si>
    <t>Launceston, Australia</t>
  </si>
  <si>
    <t>+61396927222</t>
  </si>
  <si>
    <t>gold</t>
  </si>
  <si>
    <t>sean@flynngold.com.au</t>
  </si>
  <si>
    <t>Jason</t>
  </si>
  <si>
    <t>Green</t>
  </si>
  <si>
    <t>Brisko Metal Resources</t>
  </si>
  <si>
    <t>London, United Kingdom</t>
  </si>
  <si>
    <t>+442083364595</t>
  </si>
  <si>
    <t>wholesale steel, scaffolding, non ferrous metal</t>
  </si>
  <si>
    <t>jason@brisko.co.uk</t>
  </si>
  <si>
    <t>Pernette</t>
  </si>
  <si>
    <t>Commercial &amp; Marketing Director</t>
  </si>
  <si>
    <t>ALT - Advanced Logic Technology</t>
  </si>
  <si>
    <t>Oxford, United Kingdom</t>
  </si>
  <si>
    <t>+3522856151</t>
  </si>
  <si>
    <t>wellcad software, imaging tools, data acquisition systems, optical televiewer</t>
  </si>
  <si>
    <t>michael.pernette@alt.lu</t>
  </si>
  <si>
    <t>Brent</t>
  </si>
  <si>
    <t>W------</t>
  </si>
  <si>
    <t>president-CEO</t>
  </si>
  <si>
    <t>Triton Industries, Inc.</t>
  </si>
  <si>
    <t>(773)-384-3700</t>
  </si>
  <si>
    <t>metal fabrication, metal stamping, assembly services, laser cutting, welding</t>
  </si>
  <si>
    <t>bwortell@tritonmail.com</t>
  </si>
  <si>
    <t>Pavel</t>
  </si>
  <si>
    <t>Valent</t>
  </si>
  <si>
    <t>Purchasing &amp; Logistics Manager</t>
  </si>
  <si>
    <t>S+C ALFANAMETAL s.r.o., koncern</t>
  </si>
  <si>
    <t>Olomouc, Czech Republic</t>
  </si>
  <si>
    <t>hydro power, static casting, pumps valves, separation technology, stainless steel</t>
  </si>
  <si>
    <t>pvalent@alfanametal.cz</t>
  </si>
  <si>
    <t>Marshall</t>
  </si>
  <si>
    <t>Macnabb</t>
  </si>
  <si>
    <t>MWH Geo-Surveys</t>
  </si>
  <si>
    <t>(775)-722-0616</t>
  </si>
  <si>
    <t>geophysical exploration, uav magnetic surveys, gravity surveys, uav, dem mapping</t>
  </si>
  <si>
    <t>marshall@mwhgeo.com</t>
  </si>
  <si>
    <t>Jimena</t>
  </si>
  <si>
    <t>Moran</t>
  </si>
  <si>
    <t>VP Marketing and Logistics</t>
  </si>
  <si>
    <t>Eloro Resources Ltd</t>
  </si>
  <si>
    <t>(416)-868-9168</t>
  </si>
  <si>
    <t>iskaiska, bolivia, polymetallic, gold, tin, exploration, silver</t>
  </si>
  <si>
    <t>jmoran@elororesources.com</t>
  </si>
  <si>
    <t>Sales/Purchasing Manager</t>
  </si>
  <si>
    <t>Steel Associates Inc</t>
  </si>
  <si>
    <t>Galena Park, Texas</t>
  </si>
  <si>
    <t>(713)-921-1400</t>
  </si>
  <si>
    <t>fabricating, steel plate processing, steel plate, processing</t>
  </si>
  <si>
    <t>mbruce@steelassociates.net</t>
  </si>
  <si>
    <t>T------</t>
  </si>
  <si>
    <t>Promet Steel, Inc.</t>
  </si>
  <si>
    <t>Bourbonnais, Illinois</t>
  </si>
  <si>
    <t>30</t>
  </si>
  <si>
    <t>(773)-995-0317</t>
  </si>
  <si>
    <t>cold roll, hot dipped galvanized, galvanneal, electro galvanized, slitting, coil</t>
  </si>
  <si>
    <t>jthompson@prometsteel.net</t>
  </si>
  <si>
    <t>Organizacoes Prado Industria E Comercio</t>
  </si>
  <si>
    <t>fprado@telasprado.com.br</t>
  </si>
  <si>
    <t>Albert</t>
  </si>
  <si>
    <t>Arellano</t>
  </si>
  <si>
    <t>SIGECO SAC</t>
  </si>
  <si>
    <t>tuberia hdp &amp; ferobide</t>
  </si>
  <si>
    <t>albert.arellano@sigeco.com.pe</t>
  </si>
  <si>
    <t>Guanzon</t>
  </si>
  <si>
    <t>International Metals Group</t>
  </si>
  <si>
    <t>Richmond, Canada</t>
  </si>
  <si>
    <t>(604)-685-1870</t>
  </si>
  <si>
    <t>junior exploration, corporate finance, project aquisition, investor relations</t>
  </si>
  <si>
    <t>rguanzon@newagemetals.com</t>
  </si>
  <si>
    <t>Pinkerton</t>
  </si>
  <si>
    <t>Labrador Iron Mines</t>
  </si>
  <si>
    <t>(647)-728-4123</t>
  </si>
  <si>
    <t>iron ore production, mining, metals, exploration</t>
  </si>
  <si>
    <t>pinkerton.r@labradorironmines.ca</t>
  </si>
  <si>
    <t>Kennedy</t>
  </si>
  <si>
    <t>Managing Director and CEO</t>
  </si>
  <si>
    <t>Yandal Resources Ltd</t>
  </si>
  <si>
    <t>Lesmurdie, Australia</t>
  </si>
  <si>
    <t>+61893899021</t>
  </si>
  <si>
    <t>minerals exploration, gold, resources</t>
  </si>
  <si>
    <t>tim.kennedy@yandalresources.com.au</t>
  </si>
  <si>
    <t>Johnston</t>
  </si>
  <si>
    <t>Purchasing Manager/Maintenance Coordinator</t>
  </si>
  <si>
    <t>mjohnston@nugsand.com</t>
  </si>
  <si>
    <t>Chi</t>
  </si>
  <si>
    <t>Y------</t>
  </si>
  <si>
    <t>BJMT Ideal Magnet Solutions</t>
  </si>
  <si>
    <t>Irvine, California</t>
  </si>
  <si>
    <t>(562)-777-1288</t>
  </si>
  <si>
    <t>chiyuan@idealmagnetsolutions.com</t>
  </si>
  <si>
    <t>Andree</t>
  </si>
  <si>
    <t>St-Germain</t>
  </si>
  <si>
    <t>Ascot Resources Ltd.</t>
  </si>
  <si>
    <t>North Vancouver, Canada</t>
  </si>
  <si>
    <t>(604)-379-1170</t>
  </si>
  <si>
    <t>ast-germain@ascotgold.com</t>
  </si>
  <si>
    <t>Craft</t>
  </si>
  <si>
    <t>TEMA ISENMANN (North America)</t>
  </si>
  <si>
    <t>(859)-252-0613</t>
  </si>
  <si>
    <t>dcraft@temaisenmann.com</t>
  </si>
  <si>
    <t>Director, Sourcing Programs</t>
  </si>
  <si>
    <t>Peabody Energy</t>
  </si>
  <si>
    <t>Germantown, Illinois</t>
  </si>
  <si>
    <t>(314)-342-3400</t>
  </si>
  <si>
    <t>jtimmermann@peabodyenergy.com</t>
  </si>
  <si>
    <t>Dmitry</t>
  </si>
  <si>
    <t>Pastour</t>
  </si>
  <si>
    <t>UNICHROME AG</t>
  </si>
  <si>
    <t>Switzerland</t>
  </si>
  <si>
    <t>dmitry.pastour@unichrome.ch</t>
  </si>
  <si>
    <t>Jennette</t>
  </si>
  <si>
    <t>G------</t>
  </si>
  <si>
    <t>Marketing and Communications Manager</t>
  </si>
  <si>
    <t>DT Industrials</t>
  </si>
  <si>
    <t>Toledo, Ohio</t>
  </si>
  <si>
    <t>jennette.glowski@duratemp.com</t>
  </si>
  <si>
    <t>Vedat</t>
  </si>
  <si>
    <t>Maric</t>
  </si>
  <si>
    <t>Manager Asset Management - Port &amp; Rail</t>
  </si>
  <si>
    <t>Roy Hill</t>
  </si>
  <si>
    <t>+61862421000</t>
  </si>
  <si>
    <t>vedat.maric@royhill.com.au</t>
  </si>
  <si>
    <t>Priscilla</t>
  </si>
  <si>
    <t>Lim</t>
  </si>
  <si>
    <t>Director &amp; CFO</t>
  </si>
  <si>
    <t>Petram Pte Ltd</t>
  </si>
  <si>
    <t>priscilla.lim@petram-group.com</t>
  </si>
  <si>
    <t>Jerson</t>
  </si>
  <si>
    <t>Malaga</t>
  </si>
  <si>
    <t>Business Development and Sales Manager</t>
  </si>
  <si>
    <t>UPTIME EARTHMOVING SOLUTIONS, INC</t>
  </si>
  <si>
    <t>Caraga, Philippines</t>
  </si>
  <si>
    <t>jerson.malaga@uptimeearthmoving.com</t>
  </si>
  <si>
    <t>Ekaterina</t>
  </si>
  <si>
    <t>Kulikova</t>
  </si>
  <si>
    <t>Sn. Marketing Manager</t>
  </si>
  <si>
    <t>AV Group of Companies</t>
  </si>
  <si>
    <t>+74957488179</t>
  </si>
  <si>
    <t>e.kulikova@azotvzryv.ru</t>
  </si>
  <si>
    <t>Angela</t>
  </si>
  <si>
    <t>Battery Materials Review</t>
  </si>
  <si>
    <t>Carlisle, Massachusetts</t>
  </si>
  <si>
    <t>+447384112069</t>
  </si>
  <si>
    <t>angela@batterymaterialsreview.com</t>
  </si>
  <si>
    <t>Odilis</t>
  </si>
  <si>
    <t>Gomez</t>
  </si>
  <si>
    <t>Superviseur Achats / Purchasing Manager</t>
  </si>
  <si>
    <t>Canadian Royalties inc.</t>
  </si>
  <si>
    <t>Boisbriand, Canada</t>
  </si>
  <si>
    <t>(514)-879-1688</t>
  </si>
  <si>
    <t>odilis.gomez@canadianroyalties.com</t>
  </si>
  <si>
    <t>Hans</t>
  </si>
  <si>
    <t>Jacobsson</t>
  </si>
  <si>
    <t>MD/ CEO</t>
  </si>
  <si>
    <t>Avesta, Sweden</t>
  </si>
  <si>
    <t>jacobsson.hans@voestalpine.com</t>
  </si>
  <si>
    <t>Bjoern</t>
  </si>
  <si>
    <t>Avenberg</t>
  </si>
  <si>
    <t>Consultant and Owner</t>
  </si>
  <si>
    <t>bjorn.avenberg@kobolde.se</t>
  </si>
  <si>
    <t>Dani</t>
  </si>
  <si>
    <t>Advertising and Marketing Director</t>
  </si>
  <si>
    <t>Patton Sales Corp.</t>
  </si>
  <si>
    <t>Ontario, California</t>
  </si>
  <si>
    <t>(909)-988-0661</t>
  </si>
  <si>
    <t>danin@pattonscorp.com</t>
  </si>
  <si>
    <t>Ken</t>
  </si>
  <si>
    <t>Liebel</t>
  </si>
  <si>
    <t>Raw Materials Purchasing Manager</t>
  </si>
  <si>
    <t>Sour Lake, Texas</t>
  </si>
  <si>
    <t>kliebel@gerdauameristeel.com</t>
  </si>
  <si>
    <t>Nebojsa</t>
  </si>
  <si>
    <t>Petrovic</t>
  </si>
  <si>
    <t>Sales Business Development Manager</t>
  </si>
  <si>
    <t>Wegberg, Germany</t>
  </si>
  <si>
    <t>nebojsa.petrovic@ed-mg.de</t>
  </si>
  <si>
    <t>Rodrigo</t>
  </si>
  <si>
    <t>Borges</t>
  </si>
  <si>
    <t>rodrigo.borges@rhimagnesita.com</t>
  </si>
  <si>
    <t>Kinal</t>
  </si>
  <si>
    <t>Tradealis SA</t>
  </si>
  <si>
    <t>Zürich, Switzerland</t>
  </si>
  <si>
    <t>andrew@tradealis.com</t>
  </si>
  <si>
    <t>Pablo</t>
  </si>
  <si>
    <t>Ledo</t>
  </si>
  <si>
    <t>CABLEMAR, S.L.</t>
  </si>
  <si>
    <t>A Coruña, Spain</t>
  </si>
  <si>
    <t>+34981296344</t>
  </si>
  <si>
    <t>pablo.alonso@cablemar.es</t>
  </si>
  <si>
    <t>Alfredo</t>
  </si>
  <si>
    <t>Mulehi</t>
  </si>
  <si>
    <t>Procurement and Contract Manager</t>
  </si>
  <si>
    <t>Kenmare Resources Plc</t>
  </si>
  <si>
    <t>Mozambique</t>
  </si>
  <si>
    <t>+35316710411</t>
  </si>
  <si>
    <t>amulehi@kenmaremoz.com</t>
  </si>
  <si>
    <t>Luqman</t>
  </si>
  <si>
    <t>Khan</t>
  </si>
  <si>
    <t>Electric Royalties Ltd.</t>
  </si>
  <si>
    <t>(604)-639-9200</t>
  </si>
  <si>
    <t>luqman.khan@electricroyalties.com</t>
  </si>
  <si>
    <t>Tony</t>
  </si>
  <si>
    <t>Longwall Associates, Inc.</t>
  </si>
  <si>
    <t>Chilhowie, Virginia</t>
  </si>
  <si>
    <t>(276)-646-2004</t>
  </si>
  <si>
    <t>scampbell@longwall.com</t>
  </si>
  <si>
    <t>Matulik</t>
  </si>
  <si>
    <t>Managing Director / CEO</t>
  </si>
  <si>
    <t>IMS group - Special steels</t>
  </si>
  <si>
    <t>Slovakia</t>
  </si>
  <si>
    <t>+33472232350</t>
  </si>
  <si>
    <t>rmatulik@ims-group.com</t>
  </si>
  <si>
    <t>Vanessa</t>
  </si>
  <si>
    <t>Lucas</t>
  </si>
  <si>
    <t>Walker Engineered Products</t>
  </si>
  <si>
    <t>New Lisbon, Wisconsin</t>
  </si>
  <si>
    <t>vanessa.lucas@wabashnational.com</t>
  </si>
  <si>
    <t>Dyagilev</t>
  </si>
  <si>
    <t>KRASTSVETMET</t>
  </si>
  <si>
    <t>Krasnoyarsk Krai, Russia</t>
  </si>
  <si>
    <t>+73912642033</t>
  </si>
  <si>
    <t>mike.dyagilev@krastsvetmet.com</t>
  </si>
  <si>
    <t>Enoch</t>
  </si>
  <si>
    <t>Kong</t>
  </si>
  <si>
    <t>Kenorland Minerals Ltd.</t>
  </si>
  <si>
    <t>(604)-363-1779</t>
  </si>
  <si>
    <t>enoch@kenorlandminerals.com</t>
  </si>
  <si>
    <t>Istvan</t>
  </si>
  <si>
    <t>Ilyes</t>
  </si>
  <si>
    <t>Norrhults Stålgjuteri AB</t>
  </si>
  <si>
    <t>Klavreström, Sweden</t>
  </si>
  <si>
    <t>+4647452940</t>
  </si>
  <si>
    <t>istvan@stavangersteel.se</t>
  </si>
  <si>
    <t>Scott</t>
  </si>
  <si>
    <t>DSB Industrial Inc.</t>
  </si>
  <si>
    <t>Hamilton, Canada</t>
  </si>
  <si>
    <t>(905)-643-9133</t>
  </si>
  <si>
    <t>scott.brown@dsbindustrial.com</t>
  </si>
  <si>
    <t>Foster</t>
  </si>
  <si>
    <t>Kavango Resources PLC</t>
  </si>
  <si>
    <t>+442036515705</t>
  </si>
  <si>
    <t>mfoster@kavangoresources.com</t>
  </si>
  <si>
    <t>Mahmut</t>
  </si>
  <si>
    <t>Ozturk</t>
  </si>
  <si>
    <t>Sales and Marketing Manager</t>
  </si>
  <si>
    <t>ZebSprings</t>
  </si>
  <si>
    <t>Kayseri, Turkey</t>
  </si>
  <si>
    <t>mozturk@zebsprings.com</t>
  </si>
  <si>
    <t>Lord</t>
  </si>
  <si>
    <t>ATI Canada</t>
  </si>
  <si>
    <t>Sioux Narrows, Canada</t>
  </si>
  <si>
    <t>(519)-839-6180</t>
  </si>
  <si>
    <t>tony.lord@aticanada.ca</t>
  </si>
  <si>
    <t>Florian</t>
  </si>
  <si>
    <t>Heumueller</t>
  </si>
  <si>
    <t>Strategic Sales &amp; Marketing Manager</t>
  </si>
  <si>
    <t>REMA TIP TOP Australia</t>
  </si>
  <si>
    <t>+61862531900</t>
  </si>
  <si>
    <t>fheumueller@rema-tiptop.com.au</t>
  </si>
  <si>
    <t>Ronald</t>
  </si>
  <si>
    <t>Sayers</t>
  </si>
  <si>
    <t>Group CEO</t>
  </si>
  <si>
    <t>Ausdrill</t>
  </si>
  <si>
    <t>+61861594407</t>
  </si>
  <si>
    <t>ronald.sayers@ausdrill.com.au</t>
  </si>
  <si>
    <t>Thomson</t>
  </si>
  <si>
    <t>CEO and Managing Partner</t>
  </si>
  <si>
    <t>Carey Group</t>
  </si>
  <si>
    <t>+61864658000</t>
  </si>
  <si>
    <t>matt.thomson@careygroup.com.au</t>
  </si>
  <si>
    <t>Kesselmann</t>
  </si>
  <si>
    <t>Dr. Bernhard Burger AG</t>
  </si>
  <si>
    <t>Karlsruhe, Germany</t>
  </si>
  <si>
    <t>+49723693880</t>
  </si>
  <si>
    <t>pkesselmann@burger-edelmetalle.de</t>
  </si>
  <si>
    <t>Steve</t>
  </si>
  <si>
    <t>Skidmore</t>
  </si>
  <si>
    <t>International Conveyor and Rubber</t>
  </si>
  <si>
    <t>Oak Hill, West Virginia</t>
  </si>
  <si>
    <t>sskidmore@intl-c-r.com</t>
  </si>
  <si>
    <t>Guy</t>
  </si>
  <si>
    <t>Douthwaite</t>
  </si>
  <si>
    <t>Head of FP&amp;A for India/West Asia/Africa</t>
  </si>
  <si>
    <t>guy.douthwaite@rhimagnesita.com</t>
  </si>
  <si>
    <t>Emre</t>
  </si>
  <si>
    <t>Akyildiz</t>
  </si>
  <si>
    <t>MADEN YAPI A.Ş.</t>
  </si>
  <si>
    <t>e.akyildiz@madenyapi.com</t>
  </si>
  <si>
    <t>Maamoun</t>
  </si>
  <si>
    <t>Ayoubi</t>
  </si>
  <si>
    <t>maamoun.alayoubi@cyberia-tech.com</t>
  </si>
  <si>
    <t>Miya</t>
  </si>
  <si>
    <t>HEBEI TONGXIANG CONVEYOR MACHINERY CO.,LTD</t>
  </si>
  <si>
    <t>Hebei, China</t>
  </si>
  <si>
    <t>+8631166560874</t>
  </si>
  <si>
    <t>miya@txrollerchina.com</t>
  </si>
  <si>
    <t>Olsen</t>
  </si>
  <si>
    <t>Procurement Category Manager</t>
  </si>
  <si>
    <t>LKAB</t>
  </si>
  <si>
    <t>Kiruna, Sweden</t>
  </si>
  <si>
    <t>+46771760000</t>
  </si>
  <si>
    <t>michael.olsen@lkab.com</t>
  </si>
  <si>
    <t>Jasperse</t>
  </si>
  <si>
    <t>Heros Sluiskil B.V.</t>
  </si>
  <si>
    <t>Vlissingen, Netherlands</t>
  </si>
  <si>
    <t>+31115471258</t>
  </si>
  <si>
    <t>m.jasperse@heros.nl</t>
  </si>
  <si>
    <t>Tali</t>
  </si>
  <si>
    <t>Shalem</t>
  </si>
  <si>
    <t>Shefa in Israel</t>
  </si>
  <si>
    <t>Netanya, Israel</t>
  </si>
  <si>
    <t>+97248203770</t>
  </si>
  <si>
    <t>tali.shalem@shefagems.com</t>
  </si>
  <si>
    <t>Rudellin</t>
  </si>
  <si>
    <t>Redcarp - Carpenteria metallica</t>
  </si>
  <si>
    <t>Padua, Italy</t>
  </si>
  <si>
    <t>+390497299063</t>
  </si>
  <si>
    <t>andrea@redcarp.it</t>
  </si>
  <si>
    <t>Fitz</t>
  </si>
  <si>
    <t>Richardson</t>
  </si>
  <si>
    <t>Vice President Global FP&amp;A and Treasury</t>
  </si>
  <si>
    <t>Sherritt International Corporation</t>
  </si>
  <si>
    <t>(800)-704-6698</t>
  </si>
  <si>
    <t>frichardson@sherritt.com</t>
  </si>
  <si>
    <t>Arthur</t>
  </si>
  <si>
    <t>Ghelis</t>
  </si>
  <si>
    <t>Αtlas</t>
  </si>
  <si>
    <t>+61280428461</t>
  </si>
  <si>
    <t>arthur@atlasmarble.com.au</t>
  </si>
  <si>
    <t>Dwayne</t>
  </si>
  <si>
    <t>Outlaw</t>
  </si>
  <si>
    <t>Director, Global Purchasing</t>
  </si>
  <si>
    <t>Active Minerals International</t>
  </si>
  <si>
    <t>Macon, Georgia</t>
  </si>
  <si>
    <t>(443)-335-6242</t>
  </si>
  <si>
    <t>d.outlaw@activeminerals.com</t>
  </si>
  <si>
    <t>Holly</t>
  </si>
  <si>
    <t>Vice President of Marketing</t>
  </si>
  <si>
    <t>Sycamore, Illinois</t>
  </si>
  <si>
    <t>hboth@plymouth.com</t>
  </si>
  <si>
    <t>Cheryl</t>
  </si>
  <si>
    <t>Messier</t>
  </si>
  <si>
    <t>VMS Ventures Inc.</t>
  </si>
  <si>
    <t>(604)-986-2020</t>
  </si>
  <si>
    <t>cm@vmsventures.com</t>
  </si>
  <si>
    <t>Bowron</t>
  </si>
  <si>
    <t>BMR Piping &amp; Civil</t>
  </si>
  <si>
    <t>+61862438686</t>
  </si>
  <si>
    <t>steven.bowron@bmrpipingandcivil.com</t>
  </si>
  <si>
    <t>ceo</t>
  </si>
  <si>
    <t>Hutcheson Sand &amp; Mixes</t>
  </si>
  <si>
    <t>Huntsville, Canada</t>
  </si>
  <si>
    <t>(705)-789-4457</t>
  </si>
  <si>
    <t>bsmith@hutchesonsand.com</t>
  </si>
  <si>
    <t>Caroline</t>
  </si>
  <si>
    <t>Souza</t>
  </si>
  <si>
    <t>Procurement Manager - Indirect Services</t>
  </si>
  <si>
    <t>Tampa, Florida</t>
  </si>
  <si>
    <t>caroline.souza@gerdau.com.br</t>
  </si>
  <si>
    <t>Clive</t>
  </si>
  <si>
    <t>Hart</t>
  </si>
  <si>
    <t>CEO Australisia</t>
  </si>
  <si>
    <t>ERUDITE</t>
  </si>
  <si>
    <t>clive.hart@draglobal.com</t>
  </si>
  <si>
    <t>Mohammad</t>
  </si>
  <si>
    <t>Almuraisi</t>
  </si>
  <si>
    <t>Grand Home General Trading LLC</t>
  </si>
  <si>
    <t>+97167311002</t>
  </si>
  <si>
    <t>mohammadamani@grandhome.ae</t>
  </si>
  <si>
    <t>Joana</t>
  </si>
  <si>
    <t>Scherer</t>
  </si>
  <si>
    <t>Head de Marketing</t>
  </si>
  <si>
    <t>FAST2 Mine</t>
  </si>
  <si>
    <t>Santa Cruz do Sul, Brazil</t>
  </si>
  <si>
    <t>joana.scherer@fast2mine.com</t>
  </si>
  <si>
    <t>Ehsan</t>
  </si>
  <si>
    <t>Salehabadi</t>
  </si>
  <si>
    <t>Project Manager &amp; Procurement Engineer</t>
  </si>
  <si>
    <t>TAKFA | تامین کالای فولاد ایرانیان - تکفا</t>
  </si>
  <si>
    <t>Tehran, Iran</t>
  </si>
  <si>
    <t>+982188034199</t>
  </si>
  <si>
    <t>e.salehabadi@takfa.co</t>
  </si>
  <si>
    <t>Passos</t>
  </si>
  <si>
    <t>Innara - Industria Nacional de Aramados</t>
  </si>
  <si>
    <t>Indaiatuba, Brazil</t>
  </si>
  <si>
    <t>+551939354412</t>
  </si>
  <si>
    <t>anderson.passos@innara.com.br</t>
  </si>
  <si>
    <t>Alan</t>
  </si>
  <si>
    <t>Stagg</t>
  </si>
  <si>
    <t>Stagg Resource Consultants, Inc.</t>
  </si>
  <si>
    <t>Port Royal, South Carolina</t>
  </si>
  <si>
    <t>(304)-776-6660</t>
  </si>
  <si>
    <t>astagg@staggconsultants.com</t>
  </si>
  <si>
    <t>Karl-Heinz</t>
  </si>
  <si>
    <t>Hartmann</t>
  </si>
  <si>
    <t>Bitschnau Metallverarbeitung GmbH</t>
  </si>
  <si>
    <t>Bludenz, Austria</t>
  </si>
  <si>
    <t>karlheinz.hartmann@bitschnau.com</t>
  </si>
  <si>
    <t>Oguz</t>
  </si>
  <si>
    <t>Oner</t>
  </si>
  <si>
    <t>ÖNERLER Makina Çelik Isıl İşlem San. ve Tic. Ltd. Şti.</t>
  </si>
  <si>
    <t>Bursa, Turkey</t>
  </si>
  <si>
    <t>oguz.oner@onerler.net</t>
  </si>
  <si>
    <t>Nataliia</t>
  </si>
  <si>
    <t>Mytrofanova</t>
  </si>
  <si>
    <t>Sales &amp; Marketing Manager Europe</t>
  </si>
  <si>
    <t>Northern Graphite Corp</t>
  </si>
  <si>
    <t>(613)-271-2124</t>
  </si>
  <si>
    <t>nmytrofanova@northerngraphite.com</t>
  </si>
  <si>
    <t>Fiore</t>
  </si>
  <si>
    <t>Aliperti</t>
  </si>
  <si>
    <t>Metallis Resources Inc. TSX.V: MTS | OTCQB: MTLFF | FSE: 0CVM</t>
  </si>
  <si>
    <t>(604)-688-5077</t>
  </si>
  <si>
    <t>fiore@metallisresources.com</t>
  </si>
  <si>
    <t>Phil</t>
  </si>
  <si>
    <t>McKinnel</t>
  </si>
  <si>
    <t>Birchfield Coal Mines</t>
  </si>
  <si>
    <t>Greymouth, New Zealand</t>
  </si>
  <si>
    <t>phil@birchfieldcoal.co.nz</t>
  </si>
  <si>
    <t>Techmet Alloys LLC</t>
  </si>
  <si>
    <t>j.ryan@techmet-alloys.com</t>
  </si>
  <si>
    <t>Felipe</t>
  </si>
  <si>
    <t>Ribes</t>
  </si>
  <si>
    <t>GESTA Servicios a la Minería</t>
  </si>
  <si>
    <t>Antofagasta, Chile</t>
  </si>
  <si>
    <t>98</t>
  </si>
  <si>
    <t>mantencion, mantenimiento de plantas de procesamiento &amp; mantenimiento minero</t>
  </si>
  <si>
    <t>felipe.ribes@gestamineria.cl</t>
  </si>
  <si>
    <t>Moacyr</t>
  </si>
  <si>
    <t>Rabello</t>
  </si>
  <si>
    <t>Maneto Business Management Consulting</t>
  </si>
  <si>
    <t>Winter Garden, Florida</t>
  </si>
  <si>
    <t>mining management consulting, mining, lifetime management of the crushing truck fleet, other business management consulting, mining consulting, operational cost reduction &amp; process optimization</t>
  </si>
  <si>
    <t>moacyr@manetoconsulting.com</t>
  </si>
  <si>
    <t>Gavin</t>
  </si>
  <si>
    <t>Skene</t>
  </si>
  <si>
    <t>Complete Parts &amp; Equipment Solutions</t>
  </si>
  <si>
    <t>+61265711228</t>
  </si>
  <si>
    <t>components, rebuild, used parts, machinery, dismantling</t>
  </si>
  <si>
    <t>gavin@completepartsandequipment.com.au</t>
  </si>
  <si>
    <t>Uxia</t>
  </si>
  <si>
    <t>Salgado</t>
  </si>
  <si>
    <t>uxia.salgado@rhimagnesita.com</t>
  </si>
  <si>
    <t>Brandon</t>
  </si>
  <si>
    <t>Aqua Prop</t>
  </si>
  <si>
    <t>Odessa, Texas</t>
  </si>
  <si>
    <t>(432)-254-4423</t>
  </si>
  <si>
    <t>sand logistics, wet sand, mining, sand hauling, logistics</t>
  </si>
  <si>
    <t>brandon@aquaprop.com</t>
  </si>
  <si>
    <t>Jarno</t>
  </si>
  <si>
    <t>Nummi</t>
  </si>
  <si>
    <t>Jokioisten Lankatehdas Oy</t>
  </si>
  <si>
    <t>Forssa, Finland</t>
  </si>
  <si>
    <t>+358102314690</t>
  </si>
  <si>
    <t>sidelangat, kauppalaatuiset rautalangat, asiakaslaehtoeisesti suunnitellut, hitsatut verkot, raeaetaeloeidyt rautalankatuotteet</t>
  </si>
  <si>
    <t>jarno.nummi@lankatehdas.fi</t>
  </si>
  <si>
    <t>Neil</t>
  </si>
  <si>
    <t>McKenna</t>
  </si>
  <si>
    <t>MAX Plant</t>
  </si>
  <si>
    <t>+61864447917</t>
  </si>
  <si>
    <t>neil@max-plant.com</t>
  </si>
  <si>
    <t>Rabab</t>
  </si>
  <si>
    <t>Muhammad</t>
  </si>
  <si>
    <t>Deputy Manager Marketing</t>
  </si>
  <si>
    <t>elmarakby steel</t>
  </si>
  <si>
    <t>+20238243304</t>
  </si>
  <si>
    <t>steel billets, rebars, fabrications, trading</t>
  </si>
  <si>
    <t>muhammad@elmarakbysteel.com</t>
  </si>
  <si>
    <t>Sylvain</t>
  </si>
  <si>
    <t>Lirette</t>
  </si>
  <si>
    <t>CEZinc</t>
  </si>
  <si>
    <t>Boucherville, Canada</t>
  </si>
  <si>
    <t>240</t>
  </si>
  <si>
    <t>(450)-373-9144</t>
  </si>
  <si>
    <t>transformation du minerai, ingenierie, grillage, hydrometallurgie, electrometallurgie, moulage, automatisation, entretien mecanique</t>
  </si>
  <si>
    <t>sylvain.lirette@glencore.ca</t>
  </si>
  <si>
    <t>Berg</t>
  </si>
  <si>
    <t>Booforge Steel AB</t>
  </si>
  <si>
    <t>Karlskoga, Sweden</t>
  </si>
  <si>
    <t>lifting forks &amp; freeform forging</t>
  </si>
  <si>
    <t>niklas.berg@booforge.com</t>
  </si>
  <si>
    <t>Cristiano</t>
  </si>
  <si>
    <t>Vice President of Geotechnical and Dams Brazil (Report: SVP/CEO LATAM)</t>
  </si>
  <si>
    <t>State of Minas Gerais, Brazil</t>
  </si>
  <si>
    <t>8,800</t>
  </si>
  <si>
    <t>mining &amp; exploration</t>
  </si>
  <si>
    <t>csouza@anglogoldashanti.com</t>
  </si>
  <si>
    <t>name</t>
  </si>
  <si>
    <t>last name</t>
  </si>
  <si>
    <t>Column 2</t>
  </si>
  <si>
    <t>Column 3</t>
  </si>
  <si>
    <t>Column 5</t>
  </si>
  <si>
    <t>Column 6</t>
  </si>
  <si>
    <t>Column 7</t>
  </si>
  <si>
    <t>Column 8</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</si>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</sst>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E2F97-596E-4AD5-87FB-CC85699C551E}">
  <dimension ref="A1:M359"/>
  <sheetViews>
    <sheetView tabSelected="1" workbookViewId="0">
      <selection activeCell="H5" sqref="H5"/>
    </sheetView>
  </sheetViews>
  <sheetFormatPr defaultRowHeight="15" x14ac:dyDescent="0.25"/>
  <sheetData>
    <row r="1" spans="1:13" ht="15.75" x14ac:dyDescent="0.25">
      <c r="A1" t="s">
        <v>2217</v>
      </c>
      <c r="B1" t="s">
        <v>2218</v>
      </c>
      <c r="C1" t="s">
        <v>2219</v>
      </c>
      <c r="D1" t="s">
        <v>2220</v>
      </c>
      <c r="E1" t="s">
        <v>2221</v>
      </c>
      <c r="F1" t="s">
        <v>2222</v>
      </c>
      <c r="G1" t="s">
        <v>2223</v>
      </c>
      <c r="H1" t="s">
        <v>2224</v>
      </c>
      <c r="I1" t="s">
        <v>2225</v>
      </c>
      <c r="J1" t="s">
        <v>2226</v>
      </c>
      <c r="K1" t="s">
        <v>2227</v>
      </c>
      <c r="L1" t="s">
        <v>2228</v>
      </c>
      <c r="M1" t="s">
        <v>2229</v>
      </c>
    </row>
    <row r="2" spans="1:13" x14ac:dyDescent="0.25">
      <c r="A2" t="s">
        <v>3</v>
      </c>
      <c r="B2" t="s">
        <v>4</v>
      </c>
      <c r="C2" t="s">
        <v>5</v>
      </c>
      <c r="D2" t="s">
        <v>6</v>
      </c>
      <c r="E2" t="s">
        <v>7</v>
      </c>
      <c r="F2" t="s">
        <v>1</v>
      </c>
      <c r="G2" t="s">
        <v>8</v>
      </c>
      <c r="H2" t="s">
        <v>1</v>
      </c>
      <c r="I2" t="s">
        <v>1</v>
      </c>
      <c r="J2" t="s">
        <v>9</v>
      </c>
      <c r="K2" t="s">
        <v>2</v>
      </c>
      <c r="L2" t="str">
        <f t="shared" ref="L2:L65" si="0">"Critical Analysis: "&amp;A2&amp;"_Market Intel Report Decodes "&amp;K2&amp;" Dynamics!"</f>
        <v>Critical Analysis: Kathy_Market Intel Report Decodes Mining Dynamics!</v>
      </c>
      <c r="M2" t="str">
        <f>A2&amp;"_2ND Follow-up on " &amp;K2&amp;" Market Research Insights"</f>
        <v>Kathy_2ND Follow-up on Mining Market Research Insights</v>
      </c>
    </row>
    <row r="3" spans="1:13" x14ac:dyDescent="0.25">
      <c r="A3" t="s">
        <v>11</v>
      </c>
      <c r="B3" t="s">
        <v>12</v>
      </c>
      <c r="C3" t="s">
        <v>13</v>
      </c>
      <c r="D3" t="s">
        <v>14</v>
      </c>
      <c r="E3" t="s">
        <v>15</v>
      </c>
      <c r="F3" t="s">
        <v>1</v>
      </c>
      <c r="G3" t="s">
        <v>16</v>
      </c>
      <c r="H3" t="s">
        <v>1</v>
      </c>
      <c r="I3" t="s">
        <v>1</v>
      </c>
      <c r="J3" t="s">
        <v>17</v>
      </c>
      <c r="K3" t="s">
        <v>2</v>
      </c>
      <c r="L3" t="str">
        <f t="shared" si="0"/>
        <v>Critical Analysis: Elizabeth_Market Intel Report Decodes Mining Dynamics!</v>
      </c>
      <c r="M3" t="str">
        <f t="shared" ref="M3:M66" si="1">A3&amp;"_2ND Follow-up on " &amp;K3&amp;" Market Research Insights"</f>
        <v>Elizabeth_2ND Follow-up on Mining Market Research Insights</v>
      </c>
    </row>
    <row r="4" spans="1:13" x14ac:dyDescent="0.25">
      <c r="A4" t="s">
        <v>18</v>
      </c>
      <c r="B4" t="s">
        <v>19</v>
      </c>
      <c r="C4" t="s">
        <v>20</v>
      </c>
      <c r="D4" t="s">
        <v>21</v>
      </c>
      <c r="E4" t="s">
        <v>22</v>
      </c>
      <c r="F4" t="s">
        <v>1</v>
      </c>
      <c r="G4" t="s">
        <v>16</v>
      </c>
      <c r="H4" t="s">
        <v>1</v>
      </c>
      <c r="I4" t="s">
        <v>1</v>
      </c>
      <c r="J4" t="s">
        <v>23</v>
      </c>
      <c r="K4" t="s">
        <v>2</v>
      </c>
      <c r="L4" t="str">
        <f t="shared" si="0"/>
        <v>Critical Analysis: Ederson_Market Intel Report Decodes Mining Dynamics!</v>
      </c>
      <c r="M4" t="str">
        <f t="shared" si="1"/>
        <v>Ederson_2ND Follow-up on Mining Market Research Insights</v>
      </c>
    </row>
    <row r="5" spans="1:13" x14ac:dyDescent="0.25">
      <c r="A5" t="s">
        <v>24</v>
      </c>
      <c r="B5" t="s">
        <v>25</v>
      </c>
      <c r="C5" t="s">
        <v>26</v>
      </c>
      <c r="D5" t="s">
        <v>27</v>
      </c>
      <c r="E5" t="s">
        <v>28</v>
      </c>
      <c r="F5" t="s">
        <v>1</v>
      </c>
      <c r="G5" t="s">
        <v>29</v>
      </c>
      <c r="H5" t="s">
        <v>1</v>
      </c>
      <c r="I5" t="s">
        <v>1</v>
      </c>
      <c r="J5" t="s">
        <v>30</v>
      </c>
      <c r="K5" t="s">
        <v>2</v>
      </c>
      <c r="L5" t="str">
        <f t="shared" si="0"/>
        <v>Critical Analysis: Xiaofeng_Market Intel Report Decodes Mining Dynamics!</v>
      </c>
      <c r="M5" t="str">
        <f t="shared" si="1"/>
        <v>Xiaofeng_2ND Follow-up on Mining Market Research Insights</v>
      </c>
    </row>
    <row r="6" spans="1:13" x14ac:dyDescent="0.25">
      <c r="A6" t="s">
        <v>31</v>
      </c>
      <c r="B6" t="s">
        <v>32</v>
      </c>
      <c r="C6" t="s">
        <v>33</v>
      </c>
      <c r="D6" t="s">
        <v>34</v>
      </c>
      <c r="E6" t="s">
        <v>35</v>
      </c>
      <c r="F6" t="s">
        <v>1</v>
      </c>
      <c r="G6" t="s">
        <v>16</v>
      </c>
      <c r="H6" t="s">
        <v>1</v>
      </c>
      <c r="I6" t="s">
        <v>1</v>
      </c>
      <c r="J6" t="s">
        <v>36</v>
      </c>
      <c r="K6" t="s">
        <v>2</v>
      </c>
      <c r="L6" t="str">
        <f t="shared" si="0"/>
        <v>Critical Analysis: Johanna_Market Intel Report Decodes Mining Dynamics!</v>
      </c>
      <c r="M6" t="str">
        <f t="shared" si="1"/>
        <v>Johanna_2ND Follow-up on Mining Market Research Insights</v>
      </c>
    </row>
    <row r="7" spans="1:13" x14ac:dyDescent="0.25">
      <c r="A7" t="s">
        <v>37</v>
      </c>
      <c r="B7" t="s">
        <v>38</v>
      </c>
      <c r="C7" t="s">
        <v>39</v>
      </c>
      <c r="D7" t="s">
        <v>40</v>
      </c>
      <c r="E7" t="s">
        <v>41</v>
      </c>
      <c r="F7" t="s">
        <v>1</v>
      </c>
      <c r="G7" t="s">
        <v>42</v>
      </c>
      <c r="H7" t="s">
        <v>1</v>
      </c>
      <c r="I7" t="s">
        <v>1</v>
      </c>
      <c r="J7" t="s">
        <v>43</v>
      </c>
      <c r="K7" t="s">
        <v>2</v>
      </c>
      <c r="L7" t="str">
        <f t="shared" si="0"/>
        <v>Critical Analysis: Nick_Market Intel Report Decodes Mining Dynamics!</v>
      </c>
      <c r="M7" t="str">
        <f t="shared" si="1"/>
        <v>Nick_2ND Follow-up on Mining Market Research Insights</v>
      </c>
    </row>
    <row r="8" spans="1:13" x14ac:dyDescent="0.25">
      <c r="A8" t="s">
        <v>44</v>
      </c>
      <c r="B8" t="s">
        <v>45</v>
      </c>
      <c r="C8" t="s">
        <v>33</v>
      </c>
      <c r="D8" t="s">
        <v>46</v>
      </c>
      <c r="E8" t="s">
        <v>15</v>
      </c>
      <c r="F8" t="s">
        <v>1</v>
      </c>
      <c r="G8" t="s">
        <v>47</v>
      </c>
      <c r="H8" t="s">
        <v>1</v>
      </c>
      <c r="I8" t="s">
        <v>1</v>
      </c>
      <c r="J8" t="s">
        <v>48</v>
      </c>
      <c r="K8" t="s">
        <v>2</v>
      </c>
      <c r="L8" t="str">
        <f t="shared" si="0"/>
        <v>Critical Analysis: Jimmy_Market Intel Report Decodes Mining Dynamics!</v>
      </c>
      <c r="M8" t="str">
        <f t="shared" si="1"/>
        <v>Jimmy_2ND Follow-up on Mining Market Research Insights</v>
      </c>
    </row>
    <row r="9" spans="1:13" x14ac:dyDescent="0.25">
      <c r="A9" t="s">
        <v>51</v>
      </c>
      <c r="B9" t="s">
        <v>52</v>
      </c>
      <c r="C9" t="s">
        <v>53</v>
      </c>
      <c r="D9" t="s">
        <v>54</v>
      </c>
      <c r="E9" t="s">
        <v>55</v>
      </c>
      <c r="F9" t="s">
        <v>1</v>
      </c>
      <c r="G9" t="s">
        <v>56</v>
      </c>
      <c r="H9" t="s">
        <v>1</v>
      </c>
      <c r="I9" t="s">
        <v>1</v>
      </c>
      <c r="J9" t="s">
        <v>57</v>
      </c>
      <c r="K9" t="s">
        <v>2</v>
      </c>
      <c r="L9" t="str">
        <f t="shared" si="0"/>
        <v>Critical Analysis: Roman_Market Intel Report Decodes Mining Dynamics!</v>
      </c>
      <c r="M9" t="str">
        <f t="shared" si="1"/>
        <v>Roman_2ND Follow-up on Mining Market Research Insights</v>
      </c>
    </row>
    <row r="10" spans="1:13" x14ac:dyDescent="0.25">
      <c r="A10" t="s">
        <v>58</v>
      </c>
      <c r="B10" t="s">
        <v>59</v>
      </c>
      <c r="C10" t="s">
        <v>60</v>
      </c>
      <c r="D10" t="s">
        <v>61</v>
      </c>
      <c r="E10" t="s">
        <v>62</v>
      </c>
      <c r="F10" t="s">
        <v>1</v>
      </c>
      <c r="G10" t="s">
        <v>63</v>
      </c>
      <c r="H10" t="s">
        <v>1</v>
      </c>
      <c r="I10" t="s">
        <v>1</v>
      </c>
      <c r="J10" t="s">
        <v>64</v>
      </c>
      <c r="K10" t="s">
        <v>2</v>
      </c>
      <c r="L10" t="str">
        <f t="shared" si="0"/>
        <v>Critical Analysis: Cody_Market Intel Report Decodes Mining Dynamics!</v>
      </c>
      <c r="M10" t="str">
        <f t="shared" si="1"/>
        <v>Cody_2ND Follow-up on Mining Market Research Insights</v>
      </c>
    </row>
    <row r="11" spans="1:13" x14ac:dyDescent="0.25">
      <c r="A11" t="s">
        <v>65</v>
      </c>
      <c r="B11" t="s">
        <v>66</v>
      </c>
      <c r="C11" t="s">
        <v>53</v>
      </c>
      <c r="D11" t="s">
        <v>67</v>
      </c>
      <c r="E11" t="s">
        <v>68</v>
      </c>
      <c r="F11" t="s">
        <v>1</v>
      </c>
      <c r="G11" t="s">
        <v>69</v>
      </c>
      <c r="H11" t="s">
        <v>1</v>
      </c>
      <c r="I11" t="s">
        <v>1</v>
      </c>
      <c r="J11" t="s">
        <v>70</v>
      </c>
      <c r="K11" t="s">
        <v>2</v>
      </c>
      <c r="L11" t="str">
        <f t="shared" si="0"/>
        <v>Critical Analysis: Maged_Market Intel Report Decodes Mining Dynamics!</v>
      </c>
      <c r="M11" t="str">
        <f t="shared" si="1"/>
        <v>Maged_2ND Follow-up on Mining Market Research Insights</v>
      </c>
    </row>
    <row r="12" spans="1:13" x14ac:dyDescent="0.25">
      <c r="A12" t="s">
        <v>71</v>
      </c>
      <c r="B12" t="s">
        <v>72</v>
      </c>
      <c r="C12" t="s">
        <v>73</v>
      </c>
      <c r="D12" t="s">
        <v>74</v>
      </c>
      <c r="E12" t="s">
        <v>75</v>
      </c>
      <c r="F12" t="s">
        <v>1</v>
      </c>
      <c r="G12" t="s">
        <v>16</v>
      </c>
      <c r="H12" t="s">
        <v>1</v>
      </c>
      <c r="I12" t="s">
        <v>1</v>
      </c>
      <c r="J12" t="s">
        <v>76</v>
      </c>
      <c r="K12" t="s">
        <v>2</v>
      </c>
      <c r="L12" t="str">
        <f t="shared" si="0"/>
        <v>Critical Analysis: Jin_Market Intel Report Decodes Mining Dynamics!</v>
      </c>
      <c r="M12" t="str">
        <f t="shared" si="1"/>
        <v>Jin_2ND Follow-up on Mining Market Research Insights</v>
      </c>
    </row>
    <row r="13" spans="1:13" x14ac:dyDescent="0.25">
      <c r="A13" t="s">
        <v>79</v>
      </c>
      <c r="B13" t="s">
        <v>80</v>
      </c>
      <c r="C13" t="s">
        <v>53</v>
      </c>
      <c r="D13" t="s">
        <v>81</v>
      </c>
      <c r="E13" t="s">
        <v>82</v>
      </c>
      <c r="F13" t="s">
        <v>1</v>
      </c>
      <c r="G13" t="s">
        <v>83</v>
      </c>
      <c r="H13" t="s">
        <v>1</v>
      </c>
      <c r="I13" t="s">
        <v>1</v>
      </c>
      <c r="J13" t="s">
        <v>84</v>
      </c>
      <c r="K13" t="s">
        <v>2</v>
      </c>
      <c r="L13" t="str">
        <f t="shared" si="0"/>
        <v>Critical Analysis: Alexander_Market Intel Report Decodes Mining Dynamics!</v>
      </c>
      <c r="M13" t="str">
        <f t="shared" si="1"/>
        <v>Alexander_2ND Follow-up on Mining Market Research Insights</v>
      </c>
    </row>
    <row r="14" spans="1:13" x14ac:dyDescent="0.25">
      <c r="A14" t="s">
        <v>85</v>
      </c>
      <c r="B14" t="s">
        <v>86</v>
      </c>
      <c r="C14" t="s">
        <v>87</v>
      </c>
      <c r="D14" t="s">
        <v>88</v>
      </c>
      <c r="E14" t="s">
        <v>15</v>
      </c>
      <c r="F14" t="s">
        <v>1</v>
      </c>
      <c r="G14" t="s">
        <v>89</v>
      </c>
      <c r="H14" t="s">
        <v>1</v>
      </c>
      <c r="I14" t="s">
        <v>1</v>
      </c>
      <c r="J14" t="s">
        <v>90</v>
      </c>
      <c r="K14" t="s">
        <v>2</v>
      </c>
      <c r="L14" t="str">
        <f t="shared" si="0"/>
        <v>Critical Analysis: Karl_Market Intel Report Decodes Mining Dynamics!</v>
      </c>
      <c r="M14" t="str">
        <f t="shared" si="1"/>
        <v>Karl_2ND Follow-up on Mining Market Research Insights</v>
      </c>
    </row>
    <row r="15" spans="1:13" x14ac:dyDescent="0.25">
      <c r="A15" t="s">
        <v>91</v>
      </c>
      <c r="B15" t="s">
        <v>92</v>
      </c>
      <c r="C15" t="s">
        <v>93</v>
      </c>
      <c r="D15" t="s">
        <v>94</v>
      </c>
      <c r="E15" t="s">
        <v>95</v>
      </c>
      <c r="F15" t="s">
        <v>1</v>
      </c>
      <c r="G15" t="s">
        <v>96</v>
      </c>
      <c r="H15" t="s">
        <v>1</v>
      </c>
      <c r="I15" t="s">
        <v>1</v>
      </c>
      <c r="J15" t="s">
        <v>97</v>
      </c>
      <c r="K15" t="s">
        <v>2</v>
      </c>
      <c r="L15" t="str">
        <f t="shared" si="0"/>
        <v>Critical Analysis: Patricia_Market Intel Report Decodes Mining Dynamics!</v>
      </c>
      <c r="M15" t="str">
        <f t="shared" si="1"/>
        <v>Patricia_2ND Follow-up on Mining Market Research Insights</v>
      </c>
    </row>
    <row r="16" spans="1:13" x14ac:dyDescent="0.25">
      <c r="A16" t="s">
        <v>98</v>
      </c>
      <c r="B16" t="s">
        <v>99</v>
      </c>
      <c r="C16" t="s">
        <v>100</v>
      </c>
      <c r="D16" t="s">
        <v>101</v>
      </c>
      <c r="E16" t="s">
        <v>102</v>
      </c>
      <c r="F16" t="s">
        <v>1</v>
      </c>
      <c r="G16" t="s">
        <v>103</v>
      </c>
      <c r="H16" t="s">
        <v>1</v>
      </c>
      <c r="I16" t="s">
        <v>1</v>
      </c>
      <c r="J16" t="s">
        <v>104</v>
      </c>
      <c r="K16" t="s">
        <v>2</v>
      </c>
      <c r="L16" t="str">
        <f t="shared" si="0"/>
        <v>Critical Analysis: Alejandro_Market Intel Report Decodes Mining Dynamics!</v>
      </c>
      <c r="M16" t="str">
        <f t="shared" si="1"/>
        <v>Alejandro_2ND Follow-up on Mining Market Research Insights</v>
      </c>
    </row>
    <row r="17" spans="1:13" x14ac:dyDescent="0.25">
      <c r="A17" t="s">
        <v>105</v>
      </c>
      <c r="B17" t="s">
        <v>59</v>
      </c>
      <c r="C17" t="s">
        <v>106</v>
      </c>
      <c r="D17" t="s">
        <v>107</v>
      </c>
      <c r="E17" t="s">
        <v>108</v>
      </c>
      <c r="F17" t="s">
        <v>1</v>
      </c>
      <c r="G17" t="s">
        <v>109</v>
      </c>
      <c r="H17" t="s">
        <v>1</v>
      </c>
      <c r="I17" t="s">
        <v>1</v>
      </c>
      <c r="J17" t="s">
        <v>110</v>
      </c>
      <c r="K17" t="s">
        <v>2</v>
      </c>
      <c r="L17" t="str">
        <f t="shared" si="0"/>
        <v>Critical Analysis: Ric_Market Intel Report Decodes Mining Dynamics!</v>
      </c>
      <c r="M17" t="str">
        <f t="shared" si="1"/>
        <v>Ric_2ND Follow-up on Mining Market Research Insights</v>
      </c>
    </row>
    <row r="18" spans="1:13" x14ac:dyDescent="0.25">
      <c r="A18" t="s">
        <v>111</v>
      </c>
      <c r="B18" t="s">
        <v>112</v>
      </c>
      <c r="C18" t="s">
        <v>113</v>
      </c>
      <c r="D18" t="s">
        <v>114</v>
      </c>
      <c r="E18" t="s">
        <v>115</v>
      </c>
      <c r="F18" t="s">
        <v>1</v>
      </c>
      <c r="G18" t="s">
        <v>116</v>
      </c>
      <c r="H18" t="s">
        <v>1</v>
      </c>
      <c r="I18" t="s">
        <v>1</v>
      </c>
      <c r="J18" t="s">
        <v>117</v>
      </c>
      <c r="K18" t="s">
        <v>2</v>
      </c>
      <c r="L18" t="str">
        <f t="shared" si="0"/>
        <v>Critical Analysis: Chris_Market Intel Report Decodes Mining Dynamics!</v>
      </c>
      <c r="M18" t="str">
        <f t="shared" si="1"/>
        <v>Chris_2ND Follow-up on Mining Market Research Insights</v>
      </c>
    </row>
    <row r="19" spans="1:13" x14ac:dyDescent="0.25">
      <c r="A19" t="s">
        <v>118</v>
      </c>
      <c r="B19" t="s">
        <v>119</v>
      </c>
      <c r="C19" t="s">
        <v>120</v>
      </c>
      <c r="D19" t="s">
        <v>121</v>
      </c>
      <c r="E19" t="s">
        <v>122</v>
      </c>
      <c r="F19" t="s">
        <v>1</v>
      </c>
      <c r="G19" t="s">
        <v>123</v>
      </c>
      <c r="H19" t="s">
        <v>1</v>
      </c>
      <c r="I19" t="s">
        <v>1</v>
      </c>
      <c r="J19" t="s">
        <v>124</v>
      </c>
      <c r="K19" t="s">
        <v>2</v>
      </c>
      <c r="L19" t="str">
        <f t="shared" si="0"/>
        <v>Critical Analysis: Dong_Market Intel Report Decodes Mining Dynamics!</v>
      </c>
      <c r="M19" t="str">
        <f t="shared" si="1"/>
        <v>Dong_2ND Follow-up on Mining Market Research Insights</v>
      </c>
    </row>
    <row r="20" spans="1:13" x14ac:dyDescent="0.25">
      <c r="A20" t="s">
        <v>125</v>
      </c>
      <c r="B20" t="s">
        <v>126</v>
      </c>
      <c r="C20" t="s">
        <v>127</v>
      </c>
      <c r="D20" t="s">
        <v>128</v>
      </c>
      <c r="E20" t="s">
        <v>129</v>
      </c>
      <c r="F20" t="s">
        <v>1</v>
      </c>
      <c r="G20" t="s">
        <v>16</v>
      </c>
      <c r="H20" t="s">
        <v>1</v>
      </c>
      <c r="I20" t="s">
        <v>1</v>
      </c>
      <c r="J20" t="s">
        <v>130</v>
      </c>
      <c r="K20" t="s">
        <v>2</v>
      </c>
      <c r="L20" t="str">
        <f t="shared" si="0"/>
        <v>Critical Analysis: Siang_Market Intel Report Decodes Mining Dynamics!</v>
      </c>
      <c r="M20" t="str">
        <f t="shared" si="1"/>
        <v>Siang_2ND Follow-up on Mining Market Research Insights</v>
      </c>
    </row>
    <row r="21" spans="1:13" x14ac:dyDescent="0.25">
      <c r="A21" t="s">
        <v>132</v>
      </c>
      <c r="B21" t="s">
        <v>133</v>
      </c>
      <c r="C21" t="s">
        <v>134</v>
      </c>
      <c r="D21" t="s">
        <v>135</v>
      </c>
      <c r="E21" t="s">
        <v>136</v>
      </c>
      <c r="F21" t="s">
        <v>1</v>
      </c>
      <c r="G21" t="s">
        <v>137</v>
      </c>
      <c r="H21" t="s">
        <v>1</v>
      </c>
      <c r="I21" t="s">
        <v>1</v>
      </c>
      <c r="J21" t="s">
        <v>138</v>
      </c>
      <c r="K21" t="s">
        <v>2</v>
      </c>
      <c r="L21" t="str">
        <f t="shared" si="0"/>
        <v>Critical Analysis: Meshari_Market Intel Report Decodes Mining Dynamics!</v>
      </c>
      <c r="M21" t="str">
        <f t="shared" si="1"/>
        <v>Meshari_2ND Follow-up on Mining Market Research Insights</v>
      </c>
    </row>
    <row r="22" spans="1:13" x14ac:dyDescent="0.25">
      <c r="A22" t="s">
        <v>139</v>
      </c>
      <c r="B22" t="s">
        <v>140</v>
      </c>
      <c r="C22" t="s">
        <v>141</v>
      </c>
      <c r="D22" t="s">
        <v>142</v>
      </c>
      <c r="E22" t="s">
        <v>143</v>
      </c>
      <c r="F22" t="s">
        <v>1</v>
      </c>
      <c r="G22" t="s">
        <v>144</v>
      </c>
      <c r="H22" t="s">
        <v>1</v>
      </c>
      <c r="I22" t="s">
        <v>1</v>
      </c>
      <c r="J22" t="s">
        <v>145</v>
      </c>
      <c r="K22" t="s">
        <v>2</v>
      </c>
      <c r="L22" t="str">
        <f t="shared" si="0"/>
        <v>Critical Analysis: Martin_Market Intel Report Decodes Mining Dynamics!</v>
      </c>
      <c r="M22" t="str">
        <f t="shared" si="1"/>
        <v>Martin_2ND Follow-up on Mining Market Research Insights</v>
      </c>
    </row>
    <row r="23" spans="1:13" x14ac:dyDescent="0.25">
      <c r="A23" t="s">
        <v>146</v>
      </c>
      <c r="B23" t="s">
        <v>147</v>
      </c>
      <c r="C23" t="s">
        <v>148</v>
      </c>
      <c r="D23" t="s">
        <v>149</v>
      </c>
      <c r="E23" t="s">
        <v>150</v>
      </c>
      <c r="F23" t="s">
        <v>1</v>
      </c>
      <c r="G23" t="s">
        <v>151</v>
      </c>
      <c r="H23" t="s">
        <v>1</v>
      </c>
      <c r="I23" t="s">
        <v>1</v>
      </c>
      <c r="J23" t="s">
        <v>152</v>
      </c>
      <c r="K23" t="s">
        <v>2</v>
      </c>
      <c r="L23" t="str">
        <f t="shared" si="0"/>
        <v>Critical Analysis: Germaine_Market Intel Report Decodes Mining Dynamics!</v>
      </c>
      <c r="M23" t="str">
        <f t="shared" si="1"/>
        <v>Germaine_2ND Follow-up on Mining Market Research Insights</v>
      </c>
    </row>
    <row r="24" spans="1:13" x14ac:dyDescent="0.25">
      <c r="A24" t="s">
        <v>154</v>
      </c>
      <c r="B24" t="s">
        <v>155</v>
      </c>
      <c r="C24" t="s">
        <v>156</v>
      </c>
      <c r="D24" t="s">
        <v>157</v>
      </c>
      <c r="E24" t="s">
        <v>158</v>
      </c>
      <c r="F24" t="s">
        <v>1</v>
      </c>
      <c r="G24" t="s">
        <v>16</v>
      </c>
      <c r="H24" t="s">
        <v>1</v>
      </c>
      <c r="I24" t="s">
        <v>1</v>
      </c>
      <c r="J24" t="s">
        <v>159</v>
      </c>
      <c r="K24" t="s">
        <v>2</v>
      </c>
      <c r="L24" t="str">
        <f t="shared" si="0"/>
        <v>Critical Analysis: Nie_Market Intel Report Decodes Mining Dynamics!</v>
      </c>
      <c r="M24" t="str">
        <f t="shared" si="1"/>
        <v>Nie_2ND Follow-up on Mining Market Research Insights</v>
      </c>
    </row>
    <row r="25" spans="1:13" x14ac:dyDescent="0.25">
      <c r="A25" t="s">
        <v>161</v>
      </c>
      <c r="B25" t="s">
        <v>162</v>
      </c>
      <c r="C25" t="s">
        <v>10</v>
      </c>
      <c r="D25" t="s">
        <v>163</v>
      </c>
      <c r="E25" t="s">
        <v>164</v>
      </c>
      <c r="F25" t="s">
        <v>1</v>
      </c>
      <c r="G25" t="s">
        <v>165</v>
      </c>
      <c r="H25" t="s">
        <v>1</v>
      </c>
      <c r="I25" t="s">
        <v>1</v>
      </c>
      <c r="J25" t="s">
        <v>166</v>
      </c>
      <c r="K25" t="s">
        <v>2</v>
      </c>
      <c r="L25" t="str">
        <f t="shared" si="0"/>
        <v>Critical Analysis: Jeremy_Market Intel Report Decodes Mining Dynamics!</v>
      </c>
      <c r="M25" t="str">
        <f t="shared" si="1"/>
        <v>Jeremy_2ND Follow-up on Mining Market Research Insights</v>
      </c>
    </row>
    <row r="26" spans="1:13" x14ac:dyDescent="0.25">
      <c r="A26" t="s">
        <v>168</v>
      </c>
      <c r="B26" t="s">
        <v>169</v>
      </c>
      <c r="C26" t="s">
        <v>170</v>
      </c>
      <c r="D26" t="s">
        <v>171</v>
      </c>
      <c r="E26" t="s">
        <v>172</v>
      </c>
      <c r="F26" t="s">
        <v>1</v>
      </c>
      <c r="G26" t="s">
        <v>16</v>
      </c>
      <c r="H26" t="s">
        <v>1</v>
      </c>
      <c r="I26" t="s">
        <v>1</v>
      </c>
      <c r="J26" t="s">
        <v>173</v>
      </c>
      <c r="K26" t="s">
        <v>2</v>
      </c>
      <c r="L26" t="str">
        <f t="shared" si="0"/>
        <v>Critical Analysis: Rafael_Market Intel Report Decodes Mining Dynamics!</v>
      </c>
      <c r="M26" t="str">
        <f t="shared" si="1"/>
        <v>Rafael_2ND Follow-up on Mining Market Research Insights</v>
      </c>
    </row>
    <row r="27" spans="1:13" x14ac:dyDescent="0.25">
      <c r="A27" t="s">
        <v>174</v>
      </c>
      <c r="B27" t="s">
        <v>175</v>
      </c>
      <c r="C27" t="s">
        <v>176</v>
      </c>
      <c r="D27" t="s">
        <v>177</v>
      </c>
      <c r="E27" t="s">
        <v>178</v>
      </c>
      <c r="F27" t="s">
        <v>1</v>
      </c>
      <c r="G27" t="s">
        <v>179</v>
      </c>
      <c r="H27" t="s">
        <v>1</v>
      </c>
      <c r="I27" t="s">
        <v>1</v>
      </c>
      <c r="J27" t="s">
        <v>180</v>
      </c>
      <c r="K27" t="s">
        <v>2</v>
      </c>
      <c r="L27" t="str">
        <f t="shared" si="0"/>
        <v>Critical Analysis: Tim_Market Intel Report Decodes Mining Dynamics!</v>
      </c>
      <c r="M27" t="str">
        <f t="shared" si="1"/>
        <v>Tim_2ND Follow-up on Mining Market Research Insights</v>
      </c>
    </row>
    <row r="28" spans="1:13" x14ac:dyDescent="0.25">
      <c r="A28" t="s">
        <v>181</v>
      </c>
      <c r="B28" t="s">
        <v>182</v>
      </c>
      <c r="C28" t="s">
        <v>53</v>
      </c>
      <c r="D28" t="s">
        <v>183</v>
      </c>
      <c r="E28" t="s">
        <v>184</v>
      </c>
      <c r="F28" t="s">
        <v>1</v>
      </c>
      <c r="G28" t="s">
        <v>16</v>
      </c>
      <c r="H28" t="s">
        <v>1</v>
      </c>
      <c r="I28" t="s">
        <v>1</v>
      </c>
      <c r="J28" t="s">
        <v>185</v>
      </c>
      <c r="K28" t="s">
        <v>2</v>
      </c>
      <c r="L28" t="str">
        <f t="shared" si="0"/>
        <v>Critical Analysis: Ismael_Market Intel Report Decodes Mining Dynamics!</v>
      </c>
      <c r="M28" t="str">
        <f t="shared" si="1"/>
        <v>Ismael_2ND Follow-up on Mining Market Research Insights</v>
      </c>
    </row>
    <row r="29" spans="1:13" x14ac:dyDescent="0.25">
      <c r="A29" t="s">
        <v>186</v>
      </c>
      <c r="B29" t="s">
        <v>187</v>
      </c>
      <c r="C29" t="s">
        <v>53</v>
      </c>
      <c r="D29" t="s">
        <v>188</v>
      </c>
      <c r="E29" t="s">
        <v>189</v>
      </c>
      <c r="F29" t="s">
        <v>1</v>
      </c>
      <c r="G29" t="s">
        <v>16</v>
      </c>
      <c r="H29" t="s">
        <v>1</v>
      </c>
      <c r="I29" t="s">
        <v>1</v>
      </c>
      <c r="J29" t="s">
        <v>190</v>
      </c>
      <c r="K29" t="s">
        <v>2</v>
      </c>
      <c r="L29" t="str">
        <f t="shared" si="0"/>
        <v>Critical Analysis: Abbas_Market Intel Report Decodes Mining Dynamics!</v>
      </c>
      <c r="M29" t="str">
        <f t="shared" si="1"/>
        <v>Abbas_2ND Follow-up on Mining Market Research Insights</v>
      </c>
    </row>
    <row r="30" spans="1:13" x14ac:dyDescent="0.25">
      <c r="A30" t="s">
        <v>191</v>
      </c>
      <c r="B30" t="s">
        <v>192</v>
      </c>
      <c r="C30" t="s">
        <v>53</v>
      </c>
      <c r="D30" t="s">
        <v>193</v>
      </c>
      <c r="E30" t="s">
        <v>194</v>
      </c>
      <c r="F30" t="s">
        <v>195</v>
      </c>
      <c r="G30" t="s">
        <v>16</v>
      </c>
      <c r="H30" t="s">
        <v>196</v>
      </c>
      <c r="I30" t="s">
        <v>1</v>
      </c>
      <c r="J30" t="s">
        <v>197</v>
      </c>
      <c r="K30" t="s">
        <v>2</v>
      </c>
      <c r="L30" t="str">
        <f t="shared" si="0"/>
        <v>Critical Analysis: Jakob_Market Intel Report Decodes Mining Dynamics!</v>
      </c>
      <c r="M30" t="str">
        <f t="shared" si="1"/>
        <v>Jakob_2ND Follow-up on Mining Market Research Insights</v>
      </c>
    </row>
    <row r="31" spans="1:13" x14ac:dyDescent="0.25">
      <c r="A31" t="s">
        <v>198</v>
      </c>
      <c r="B31" t="s">
        <v>199</v>
      </c>
      <c r="C31" t="s">
        <v>200</v>
      </c>
      <c r="D31" t="s">
        <v>201</v>
      </c>
      <c r="E31" t="s">
        <v>202</v>
      </c>
      <c r="F31" t="s">
        <v>203</v>
      </c>
      <c r="G31" t="s">
        <v>204</v>
      </c>
      <c r="H31" t="s">
        <v>196</v>
      </c>
      <c r="I31" t="s">
        <v>1</v>
      </c>
      <c r="J31" t="s">
        <v>205</v>
      </c>
      <c r="K31" t="s">
        <v>2</v>
      </c>
      <c r="L31" t="str">
        <f t="shared" si="0"/>
        <v>Critical Analysis: Milan_Market Intel Report Decodes Mining Dynamics!</v>
      </c>
      <c r="M31" t="str">
        <f t="shared" si="1"/>
        <v>Milan_2ND Follow-up on Mining Market Research Insights</v>
      </c>
    </row>
    <row r="32" spans="1:13" x14ac:dyDescent="0.25">
      <c r="A32" t="s">
        <v>206</v>
      </c>
      <c r="B32" t="s">
        <v>207</v>
      </c>
      <c r="C32" t="s">
        <v>208</v>
      </c>
      <c r="D32" t="s">
        <v>209</v>
      </c>
      <c r="E32" t="s">
        <v>210</v>
      </c>
      <c r="F32" t="s">
        <v>211</v>
      </c>
      <c r="G32" t="s">
        <v>16</v>
      </c>
      <c r="H32" t="s">
        <v>196</v>
      </c>
      <c r="I32" t="s">
        <v>212</v>
      </c>
      <c r="J32" t="s">
        <v>213</v>
      </c>
      <c r="K32" t="s">
        <v>2</v>
      </c>
      <c r="L32" t="str">
        <f t="shared" si="0"/>
        <v>Critical Analysis: Cat_Market Intel Report Decodes Mining Dynamics!</v>
      </c>
      <c r="M32" t="str">
        <f t="shared" si="1"/>
        <v>Cat_2ND Follow-up on Mining Market Research Insights</v>
      </c>
    </row>
    <row r="33" spans="1:13" x14ac:dyDescent="0.25">
      <c r="A33" t="s">
        <v>214</v>
      </c>
      <c r="B33" t="s">
        <v>215</v>
      </c>
      <c r="C33" t="s">
        <v>10</v>
      </c>
      <c r="D33" t="s">
        <v>216</v>
      </c>
      <c r="E33" t="s">
        <v>150</v>
      </c>
      <c r="F33" t="s">
        <v>217</v>
      </c>
      <c r="G33" t="s">
        <v>218</v>
      </c>
      <c r="H33" t="s">
        <v>196</v>
      </c>
      <c r="I33" t="s">
        <v>219</v>
      </c>
      <c r="J33" t="s">
        <v>220</v>
      </c>
      <c r="K33" t="s">
        <v>2</v>
      </c>
      <c r="L33" t="str">
        <f t="shared" si="0"/>
        <v>Critical Analysis: Milad_Market Intel Report Decodes Mining Dynamics!</v>
      </c>
      <c r="M33" t="str">
        <f t="shared" si="1"/>
        <v>Milad_2ND Follow-up on Mining Market Research Insights</v>
      </c>
    </row>
    <row r="34" spans="1:13" x14ac:dyDescent="0.25">
      <c r="A34" t="s">
        <v>221</v>
      </c>
      <c r="B34" t="s">
        <v>222</v>
      </c>
      <c r="C34" t="s">
        <v>223</v>
      </c>
      <c r="D34" t="s">
        <v>224</v>
      </c>
      <c r="E34" t="s">
        <v>225</v>
      </c>
      <c r="F34" t="s">
        <v>226</v>
      </c>
      <c r="G34" t="s">
        <v>227</v>
      </c>
      <c r="H34" t="s">
        <v>196</v>
      </c>
      <c r="I34" t="s">
        <v>228</v>
      </c>
      <c r="J34" t="s">
        <v>229</v>
      </c>
      <c r="K34" t="s">
        <v>2</v>
      </c>
      <c r="L34" t="str">
        <f t="shared" si="0"/>
        <v>Critical Analysis: Elise_Market Intel Report Decodes Mining Dynamics!</v>
      </c>
      <c r="M34" t="str">
        <f t="shared" si="1"/>
        <v>Elise_2ND Follow-up on Mining Market Research Insights</v>
      </c>
    </row>
    <row r="35" spans="1:13" x14ac:dyDescent="0.25">
      <c r="A35" t="s">
        <v>111</v>
      </c>
      <c r="B35" t="s">
        <v>230</v>
      </c>
      <c r="C35" t="s">
        <v>113</v>
      </c>
      <c r="D35" t="s">
        <v>231</v>
      </c>
      <c r="E35" t="s">
        <v>15</v>
      </c>
      <c r="F35" t="s">
        <v>232</v>
      </c>
      <c r="G35" t="s">
        <v>16</v>
      </c>
      <c r="H35" t="s">
        <v>196</v>
      </c>
      <c r="I35" t="s">
        <v>1</v>
      </c>
      <c r="J35" t="s">
        <v>233</v>
      </c>
      <c r="K35" t="s">
        <v>2</v>
      </c>
      <c r="L35" t="str">
        <f t="shared" si="0"/>
        <v>Critical Analysis: Chris_Market Intel Report Decodes Mining Dynamics!</v>
      </c>
      <c r="M35" t="str">
        <f t="shared" si="1"/>
        <v>Chris_2ND Follow-up on Mining Market Research Insights</v>
      </c>
    </row>
    <row r="36" spans="1:13" x14ac:dyDescent="0.25">
      <c r="A36" t="s">
        <v>234</v>
      </c>
      <c r="B36" t="s">
        <v>235</v>
      </c>
      <c r="C36" t="s">
        <v>33</v>
      </c>
      <c r="D36" t="s">
        <v>236</v>
      </c>
      <c r="E36" t="s">
        <v>15</v>
      </c>
      <c r="F36" t="s">
        <v>237</v>
      </c>
      <c r="G36" t="s">
        <v>238</v>
      </c>
      <c r="H36" t="s">
        <v>239</v>
      </c>
      <c r="I36" t="s">
        <v>240</v>
      </c>
      <c r="J36" t="s">
        <v>241</v>
      </c>
      <c r="K36" t="s">
        <v>2</v>
      </c>
      <c r="L36" t="str">
        <f t="shared" si="0"/>
        <v>Critical Analysis: Ashley_Market Intel Report Decodes Mining Dynamics!</v>
      </c>
      <c r="M36" t="str">
        <f t="shared" si="1"/>
        <v>Ashley_2ND Follow-up on Mining Market Research Insights</v>
      </c>
    </row>
    <row r="37" spans="1:13" x14ac:dyDescent="0.25">
      <c r="A37" t="s">
        <v>242</v>
      </c>
      <c r="B37" t="s">
        <v>243</v>
      </c>
      <c r="C37" t="s">
        <v>10</v>
      </c>
      <c r="D37" t="s">
        <v>244</v>
      </c>
      <c r="E37" t="s">
        <v>245</v>
      </c>
      <c r="F37" t="s">
        <v>246</v>
      </c>
      <c r="G37" t="s">
        <v>247</v>
      </c>
      <c r="H37" t="s">
        <v>196</v>
      </c>
      <c r="I37" t="s">
        <v>1</v>
      </c>
      <c r="J37" t="s">
        <v>248</v>
      </c>
      <c r="K37" t="s">
        <v>2</v>
      </c>
      <c r="L37" t="str">
        <f t="shared" si="0"/>
        <v>Critical Analysis: Eddie_Market Intel Report Decodes Mining Dynamics!</v>
      </c>
      <c r="M37" t="str">
        <f t="shared" si="1"/>
        <v>Eddie_2ND Follow-up on Mining Market Research Insights</v>
      </c>
    </row>
    <row r="38" spans="1:13" x14ac:dyDescent="0.25">
      <c r="A38" t="s">
        <v>250</v>
      </c>
      <c r="B38" t="s">
        <v>251</v>
      </c>
      <c r="C38" t="s">
        <v>50</v>
      </c>
      <c r="D38" t="s">
        <v>252</v>
      </c>
      <c r="E38" t="s">
        <v>253</v>
      </c>
      <c r="F38" t="s">
        <v>232</v>
      </c>
      <c r="G38" t="s">
        <v>254</v>
      </c>
      <c r="H38" t="s">
        <v>196</v>
      </c>
      <c r="I38" t="s">
        <v>255</v>
      </c>
      <c r="J38" t="s">
        <v>256</v>
      </c>
      <c r="K38" t="s">
        <v>2</v>
      </c>
      <c r="L38" t="str">
        <f t="shared" si="0"/>
        <v>Critical Analysis: Steven_Market Intel Report Decodes Mining Dynamics!</v>
      </c>
      <c r="M38" t="str">
        <f t="shared" si="1"/>
        <v>Steven_2ND Follow-up on Mining Market Research Insights</v>
      </c>
    </row>
    <row r="39" spans="1:13" x14ac:dyDescent="0.25">
      <c r="A39" t="s">
        <v>257</v>
      </c>
      <c r="B39" t="s">
        <v>258</v>
      </c>
      <c r="C39" t="s">
        <v>259</v>
      </c>
      <c r="D39" t="s">
        <v>260</v>
      </c>
      <c r="E39" t="s">
        <v>261</v>
      </c>
      <c r="F39" t="s">
        <v>262</v>
      </c>
      <c r="G39" t="s">
        <v>16</v>
      </c>
      <c r="H39" t="s">
        <v>196</v>
      </c>
      <c r="I39" t="s">
        <v>1</v>
      </c>
      <c r="J39" t="s">
        <v>263</v>
      </c>
      <c r="K39" t="s">
        <v>2</v>
      </c>
      <c r="L39" t="str">
        <f t="shared" si="0"/>
        <v>Critical Analysis: Frank_Market Intel Report Decodes Mining Dynamics!</v>
      </c>
      <c r="M39" t="str">
        <f t="shared" si="1"/>
        <v>Frank_2ND Follow-up on Mining Market Research Insights</v>
      </c>
    </row>
    <row r="40" spans="1:13" x14ac:dyDescent="0.25">
      <c r="A40" t="s">
        <v>264</v>
      </c>
      <c r="B40" t="s">
        <v>265</v>
      </c>
      <c r="C40" t="s">
        <v>266</v>
      </c>
      <c r="D40" t="s">
        <v>224</v>
      </c>
      <c r="E40" t="s">
        <v>267</v>
      </c>
      <c r="F40" t="s">
        <v>226</v>
      </c>
      <c r="G40" t="s">
        <v>227</v>
      </c>
      <c r="H40" t="s">
        <v>196</v>
      </c>
      <c r="I40" t="s">
        <v>228</v>
      </c>
      <c r="J40" t="s">
        <v>268</v>
      </c>
      <c r="K40" t="s">
        <v>2</v>
      </c>
      <c r="L40" t="str">
        <f t="shared" si="0"/>
        <v>Critical Analysis: Walter_Market Intel Report Decodes Mining Dynamics!</v>
      </c>
      <c r="M40" t="str">
        <f t="shared" si="1"/>
        <v>Walter_2ND Follow-up on Mining Market Research Insights</v>
      </c>
    </row>
    <row r="41" spans="1:13" x14ac:dyDescent="0.25">
      <c r="A41" t="s">
        <v>269</v>
      </c>
      <c r="B41" t="s">
        <v>270</v>
      </c>
      <c r="C41" t="s">
        <v>271</v>
      </c>
      <c r="D41" t="s">
        <v>272</v>
      </c>
      <c r="E41" t="s">
        <v>273</v>
      </c>
      <c r="F41" t="s">
        <v>217</v>
      </c>
      <c r="G41" t="s">
        <v>16</v>
      </c>
      <c r="H41" t="s">
        <v>196</v>
      </c>
      <c r="I41" t="s">
        <v>274</v>
      </c>
      <c r="J41" t="s">
        <v>275</v>
      </c>
      <c r="K41" t="s">
        <v>2</v>
      </c>
      <c r="L41" t="str">
        <f t="shared" si="0"/>
        <v>Critical Analysis: Matteo_Market Intel Report Decodes Mining Dynamics!</v>
      </c>
      <c r="M41" t="str">
        <f t="shared" si="1"/>
        <v>Matteo_2ND Follow-up on Mining Market Research Insights</v>
      </c>
    </row>
    <row r="42" spans="1:13" x14ac:dyDescent="0.25">
      <c r="A42" t="s">
        <v>276</v>
      </c>
      <c r="B42" t="s">
        <v>277</v>
      </c>
      <c r="C42" t="s">
        <v>33</v>
      </c>
      <c r="D42" t="s">
        <v>278</v>
      </c>
      <c r="E42" t="s">
        <v>279</v>
      </c>
      <c r="F42" t="s">
        <v>280</v>
      </c>
      <c r="G42" t="s">
        <v>281</v>
      </c>
      <c r="H42" t="s">
        <v>196</v>
      </c>
      <c r="I42" t="s">
        <v>1</v>
      </c>
      <c r="J42" t="s">
        <v>282</v>
      </c>
      <c r="K42" t="s">
        <v>2</v>
      </c>
      <c r="L42" t="str">
        <f t="shared" si="0"/>
        <v>Critical Analysis: Daniel_Market Intel Report Decodes Mining Dynamics!</v>
      </c>
      <c r="M42" t="str">
        <f t="shared" si="1"/>
        <v>Daniel_2ND Follow-up on Mining Market Research Insights</v>
      </c>
    </row>
    <row r="43" spans="1:13" x14ac:dyDescent="0.25">
      <c r="A43" t="s">
        <v>284</v>
      </c>
      <c r="B43" t="s">
        <v>285</v>
      </c>
      <c r="C43" t="s">
        <v>286</v>
      </c>
      <c r="D43" t="s">
        <v>287</v>
      </c>
      <c r="E43" t="s">
        <v>288</v>
      </c>
      <c r="F43" t="s">
        <v>289</v>
      </c>
      <c r="G43" t="s">
        <v>290</v>
      </c>
      <c r="H43" t="s">
        <v>196</v>
      </c>
      <c r="I43" t="s">
        <v>291</v>
      </c>
      <c r="J43" t="s">
        <v>292</v>
      </c>
      <c r="K43" t="s">
        <v>2</v>
      </c>
      <c r="L43" t="str">
        <f t="shared" si="0"/>
        <v>Critical Analysis: Asim_Market Intel Report Decodes Mining Dynamics!</v>
      </c>
      <c r="M43" t="str">
        <f t="shared" si="1"/>
        <v>Asim_2ND Follow-up on Mining Market Research Insights</v>
      </c>
    </row>
    <row r="44" spans="1:13" x14ac:dyDescent="0.25">
      <c r="A44" t="s">
        <v>293</v>
      </c>
      <c r="C44" t="s">
        <v>10</v>
      </c>
      <c r="D44" t="s">
        <v>294</v>
      </c>
      <c r="E44" t="s">
        <v>295</v>
      </c>
      <c r="F44" t="s">
        <v>296</v>
      </c>
      <c r="G44" t="s">
        <v>16</v>
      </c>
      <c r="H44" t="s">
        <v>196</v>
      </c>
      <c r="I44" t="s">
        <v>1</v>
      </c>
      <c r="J44" t="s">
        <v>297</v>
      </c>
      <c r="K44" t="s">
        <v>2</v>
      </c>
      <c r="L44" t="str">
        <f t="shared" si="0"/>
        <v>Critical Analysis: Kudzai_Market Intel Report Decodes Mining Dynamics!</v>
      </c>
      <c r="M44" t="str">
        <f t="shared" si="1"/>
        <v>Kudzai_2ND Follow-up on Mining Market Research Insights</v>
      </c>
    </row>
    <row r="45" spans="1:13" x14ac:dyDescent="0.25">
      <c r="A45" t="s">
        <v>298</v>
      </c>
      <c r="B45" t="s">
        <v>299</v>
      </c>
      <c r="C45" t="s">
        <v>113</v>
      </c>
      <c r="D45" t="s">
        <v>300</v>
      </c>
      <c r="E45" t="s">
        <v>301</v>
      </c>
      <c r="F45" t="s">
        <v>302</v>
      </c>
      <c r="G45" t="s">
        <v>16</v>
      </c>
      <c r="H45" t="s">
        <v>196</v>
      </c>
      <c r="I45" t="s">
        <v>303</v>
      </c>
      <c r="J45" t="s">
        <v>304</v>
      </c>
      <c r="K45" t="s">
        <v>2</v>
      </c>
      <c r="L45" t="str">
        <f t="shared" si="0"/>
        <v>Critical Analysis: Peter_Market Intel Report Decodes Mining Dynamics!</v>
      </c>
      <c r="M45" t="str">
        <f t="shared" si="1"/>
        <v>Peter_2ND Follow-up on Mining Market Research Insights</v>
      </c>
    </row>
    <row r="46" spans="1:13" x14ac:dyDescent="0.25">
      <c r="A46" t="s">
        <v>305</v>
      </c>
      <c r="B46" t="s">
        <v>306</v>
      </c>
      <c r="C46" t="s">
        <v>10</v>
      </c>
      <c r="D46" t="s">
        <v>307</v>
      </c>
      <c r="E46" t="s">
        <v>308</v>
      </c>
      <c r="F46" t="s">
        <v>309</v>
      </c>
      <c r="G46" t="s">
        <v>310</v>
      </c>
      <c r="H46" t="s">
        <v>196</v>
      </c>
      <c r="I46" t="s">
        <v>311</v>
      </c>
      <c r="J46" t="s">
        <v>312</v>
      </c>
      <c r="K46" t="s">
        <v>2</v>
      </c>
      <c r="L46" t="str">
        <f t="shared" si="0"/>
        <v>Critical Analysis: Bryce_Market Intel Report Decodes Mining Dynamics!</v>
      </c>
      <c r="M46" t="str">
        <f t="shared" si="1"/>
        <v>Bryce_2ND Follow-up on Mining Market Research Insights</v>
      </c>
    </row>
    <row r="47" spans="1:13" x14ac:dyDescent="0.25">
      <c r="A47" t="s">
        <v>313</v>
      </c>
      <c r="B47" t="s">
        <v>314</v>
      </c>
      <c r="C47" t="s">
        <v>113</v>
      </c>
      <c r="D47" t="s">
        <v>315</v>
      </c>
      <c r="E47" t="s">
        <v>316</v>
      </c>
      <c r="F47" t="s">
        <v>317</v>
      </c>
      <c r="G47" t="s">
        <v>318</v>
      </c>
      <c r="H47" t="s">
        <v>196</v>
      </c>
      <c r="I47" t="s">
        <v>319</v>
      </c>
      <c r="J47" t="s">
        <v>320</v>
      </c>
      <c r="K47" t="s">
        <v>2</v>
      </c>
      <c r="L47" t="str">
        <f t="shared" si="0"/>
        <v>Critical Analysis: Jamie_Market Intel Report Decodes Mining Dynamics!</v>
      </c>
      <c r="M47" t="str">
        <f t="shared" si="1"/>
        <v>Jamie_2ND Follow-up on Mining Market Research Insights</v>
      </c>
    </row>
    <row r="48" spans="1:13" x14ac:dyDescent="0.25">
      <c r="A48" t="s">
        <v>321</v>
      </c>
      <c r="B48" t="s">
        <v>322</v>
      </c>
      <c r="C48" t="s">
        <v>53</v>
      </c>
      <c r="D48" t="s">
        <v>323</v>
      </c>
      <c r="E48" t="s">
        <v>324</v>
      </c>
      <c r="F48" t="s">
        <v>325</v>
      </c>
      <c r="G48" t="s">
        <v>326</v>
      </c>
      <c r="H48" t="s">
        <v>196</v>
      </c>
      <c r="I48" t="s">
        <v>327</v>
      </c>
      <c r="J48" t="s">
        <v>328</v>
      </c>
      <c r="K48" t="s">
        <v>2</v>
      </c>
      <c r="L48" t="str">
        <f t="shared" si="0"/>
        <v>Critical Analysis: Jukka_Market Intel Report Decodes Mining Dynamics!</v>
      </c>
      <c r="M48" t="str">
        <f t="shared" si="1"/>
        <v>Jukka_2ND Follow-up on Mining Market Research Insights</v>
      </c>
    </row>
    <row r="49" spans="1:13" x14ac:dyDescent="0.25">
      <c r="A49" t="s">
        <v>329</v>
      </c>
      <c r="B49" t="s">
        <v>330</v>
      </c>
      <c r="C49" t="s">
        <v>331</v>
      </c>
      <c r="D49" t="s">
        <v>332</v>
      </c>
      <c r="E49" t="s">
        <v>333</v>
      </c>
      <c r="F49" t="s">
        <v>334</v>
      </c>
      <c r="G49" t="s">
        <v>16</v>
      </c>
      <c r="H49" t="s">
        <v>196</v>
      </c>
      <c r="I49" t="s">
        <v>335</v>
      </c>
      <c r="J49" t="s">
        <v>336</v>
      </c>
      <c r="K49" t="s">
        <v>2</v>
      </c>
      <c r="L49" t="str">
        <f t="shared" si="0"/>
        <v>Critical Analysis: Joan_Market Intel Report Decodes Mining Dynamics!</v>
      </c>
      <c r="M49" t="str">
        <f t="shared" si="1"/>
        <v>Joan_2ND Follow-up on Mining Market Research Insights</v>
      </c>
    </row>
    <row r="50" spans="1:13" x14ac:dyDescent="0.25">
      <c r="A50" t="s">
        <v>337</v>
      </c>
      <c r="B50" t="s">
        <v>338</v>
      </c>
      <c r="C50" t="s">
        <v>10</v>
      </c>
      <c r="D50" t="s">
        <v>339</v>
      </c>
      <c r="E50" t="s">
        <v>340</v>
      </c>
      <c r="F50" t="s">
        <v>262</v>
      </c>
      <c r="G50" t="s">
        <v>341</v>
      </c>
      <c r="H50" t="s">
        <v>196</v>
      </c>
      <c r="I50" t="s">
        <v>342</v>
      </c>
      <c r="J50" t="s">
        <v>343</v>
      </c>
      <c r="K50" t="s">
        <v>2</v>
      </c>
      <c r="L50" t="str">
        <f t="shared" si="0"/>
        <v>Critical Analysis: Luke_Market Intel Report Decodes Mining Dynamics!</v>
      </c>
      <c r="M50" t="str">
        <f t="shared" si="1"/>
        <v>Luke_2ND Follow-up on Mining Market Research Insights</v>
      </c>
    </row>
    <row r="51" spans="1:13" x14ac:dyDescent="0.25">
      <c r="A51" t="s">
        <v>344</v>
      </c>
      <c r="B51" t="s">
        <v>345</v>
      </c>
      <c r="C51" t="s">
        <v>141</v>
      </c>
      <c r="D51" t="s">
        <v>346</v>
      </c>
      <c r="E51" t="s">
        <v>347</v>
      </c>
      <c r="F51" t="s">
        <v>348</v>
      </c>
      <c r="G51" t="s">
        <v>349</v>
      </c>
      <c r="H51" t="s">
        <v>196</v>
      </c>
      <c r="I51" t="s">
        <v>350</v>
      </c>
      <c r="J51" t="s">
        <v>351</v>
      </c>
      <c r="K51" t="s">
        <v>2</v>
      </c>
      <c r="L51" t="str">
        <f t="shared" si="0"/>
        <v>Critical Analysis: Olli_Market Intel Report Decodes Mining Dynamics!</v>
      </c>
      <c r="M51" t="str">
        <f t="shared" si="1"/>
        <v>Olli_2ND Follow-up on Mining Market Research Insights</v>
      </c>
    </row>
    <row r="52" spans="1:13" x14ac:dyDescent="0.25">
      <c r="A52" t="s">
        <v>354</v>
      </c>
      <c r="B52" t="s">
        <v>355</v>
      </c>
      <c r="C52" t="s">
        <v>356</v>
      </c>
      <c r="D52" t="s">
        <v>357</v>
      </c>
      <c r="E52" t="s">
        <v>358</v>
      </c>
      <c r="F52" t="s">
        <v>217</v>
      </c>
      <c r="G52" t="s">
        <v>16</v>
      </c>
      <c r="H52" t="s">
        <v>196</v>
      </c>
      <c r="I52" t="s">
        <v>359</v>
      </c>
      <c r="J52" t="s">
        <v>360</v>
      </c>
      <c r="K52" t="s">
        <v>2</v>
      </c>
      <c r="L52" t="str">
        <f t="shared" si="0"/>
        <v>Critical Analysis: Trent_Market Intel Report Decodes Mining Dynamics!</v>
      </c>
      <c r="M52" t="str">
        <f t="shared" si="1"/>
        <v>Trent_2ND Follow-up on Mining Market Research Insights</v>
      </c>
    </row>
    <row r="53" spans="1:13" x14ac:dyDescent="0.25">
      <c r="A53" t="s">
        <v>361</v>
      </c>
      <c r="B53" t="s">
        <v>362</v>
      </c>
      <c r="C53" t="s">
        <v>208</v>
      </c>
      <c r="D53" t="s">
        <v>363</v>
      </c>
      <c r="E53" t="s">
        <v>364</v>
      </c>
      <c r="F53" t="s">
        <v>365</v>
      </c>
      <c r="G53" t="s">
        <v>366</v>
      </c>
      <c r="H53" t="s">
        <v>196</v>
      </c>
      <c r="I53" t="s">
        <v>367</v>
      </c>
      <c r="J53" t="s">
        <v>368</v>
      </c>
      <c r="K53" t="s">
        <v>2</v>
      </c>
      <c r="L53" t="str">
        <f t="shared" si="0"/>
        <v>Critical Analysis: Jens_Market Intel Report Decodes Mining Dynamics!</v>
      </c>
      <c r="M53" t="str">
        <f t="shared" si="1"/>
        <v>Jens_2ND Follow-up on Mining Market Research Insights</v>
      </c>
    </row>
    <row r="54" spans="1:13" x14ac:dyDescent="0.25">
      <c r="A54" t="s">
        <v>369</v>
      </c>
      <c r="B54" t="s">
        <v>370</v>
      </c>
      <c r="C54" t="s">
        <v>33</v>
      </c>
      <c r="D54" t="s">
        <v>371</v>
      </c>
      <c r="E54" t="s">
        <v>372</v>
      </c>
      <c r="F54" t="s">
        <v>262</v>
      </c>
      <c r="G54" t="s">
        <v>16</v>
      </c>
      <c r="H54" t="s">
        <v>196</v>
      </c>
      <c r="I54" t="s">
        <v>1</v>
      </c>
      <c r="J54" t="s">
        <v>373</v>
      </c>
      <c r="K54" t="s">
        <v>2</v>
      </c>
      <c r="L54" t="str">
        <f t="shared" si="0"/>
        <v>Critical Analysis: Liliana_Market Intel Report Decodes Mining Dynamics!</v>
      </c>
      <c r="M54" t="str">
        <f t="shared" si="1"/>
        <v>Liliana_2ND Follow-up on Mining Market Research Insights</v>
      </c>
    </row>
    <row r="55" spans="1:13" x14ac:dyDescent="0.25">
      <c r="A55" t="s">
        <v>374</v>
      </c>
      <c r="B55" t="s">
        <v>375</v>
      </c>
      <c r="C55" t="s">
        <v>376</v>
      </c>
      <c r="D55" t="s">
        <v>377</v>
      </c>
      <c r="E55" t="s">
        <v>378</v>
      </c>
      <c r="F55" t="s">
        <v>379</v>
      </c>
      <c r="G55" t="s">
        <v>380</v>
      </c>
      <c r="H55" t="s">
        <v>196</v>
      </c>
      <c r="I55" t="s">
        <v>381</v>
      </c>
      <c r="J55" t="s">
        <v>382</v>
      </c>
      <c r="K55" t="s">
        <v>2</v>
      </c>
      <c r="L55" t="str">
        <f t="shared" si="0"/>
        <v>Critical Analysis: Benjamin_Market Intel Report Decodes Mining Dynamics!</v>
      </c>
      <c r="M55" t="str">
        <f t="shared" si="1"/>
        <v>Benjamin_2ND Follow-up on Mining Market Research Insights</v>
      </c>
    </row>
    <row r="56" spans="1:13" x14ac:dyDescent="0.25">
      <c r="A56" t="s">
        <v>383</v>
      </c>
      <c r="B56" t="s">
        <v>384</v>
      </c>
      <c r="C56" t="s">
        <v>77</v>
      </c>
      <c r="D56" t="s">
        <v>385</v>
      </c>
      <c r="E56" t="s">
        <v>131</v>
      </c>
      <c r="F56" t="s">
        <v>195</v>
      </c>
      <c r="G56" t="s">
        <v>16</v>
      </c>
      <c r="H56" t="s">
        <v>196</v>
      </c>
      <c r="I56" t="s">
        <v>1</v>
      </c>
      <c r="J56" t="s">
        <v>386</v>
      </c>
      <c r="K56" t="s">
        <v>2</v>
      </c>
      <c r="L56" t="str">
        <f t="shared" si="0"/>
        <v>Critical Analysis: Ekrem_Market Intel Report Decodes Mining Dynamics!</v>
      </c>
      <c r="M56" t="str">
        <f t="shared" si="1"/>
        <v>Ekrem_2ND Follow-up on Mining Market Research Insights</v>
      </c>
    </row>
    <row r="57" spans="1:13" x14ac:dyDescent="0.25">
      <c r="A57" t="s">
        <v>387</v>
      </c>
      <c r="B57" t="s">
        <v>388</v>
      </c>
      <c r="C57" t="s">
        <v>77</v>
      </c>
      <c r="D57" t="s">
        <v>389</v>
      </c>
      <c r="E57" t="s">
        <v>390</v>
      </c>
      <c r="F57" t="s">
        <v>262</v>
      </c>
      <c r="G57" t="s">
        <v>16</v>
      </c>
      <c r="H57" t="s">
        <v>196</v>
      </c>
      <c r="I57" t="s">
        <v>1</v>
      </c>
      <c r="J57" t="s">
        <v>391</v>
      </c>
      <c r="K57" t="s">
        <v>2</v>
      </c>
      <c r="L57" t="str">
        <f t="shared" si="0"/>
        <v>Critical Analysis: Philippe_Market Intel Report Decodes Mining Dynamics!</v>
      </c>
      <c r="M57" t="str">
        <f t="shared" si="1"/>
        <v>Philippe_2ND Follow-up on Mining Market Research Insights</v>
      </c>
    </row>
    <row r="58" spans="1:13" x14ac:dyDescent="0.25">
      <c r="A58" t="s">
        <v>392</v>
      </c>
      <c r="B58" t="s">
        <v>393</v>
      </c>
      <c r="C58" t="s">
        <v>33</v>
      </c>
      <c r="D58" t="s">
        <v>394</v>
      </c>
      <c r="E58" t="s">
        <v>15</v>
      </c>
      <c r="F58" t="s">
        <v>395</v>
      </c>
      <c r="G58" t="s">
        <v>396</v>
      </c>
      <c r="H58" t="s">
        <v>196</v>
      </c>
      <c r="I58" t="s">
        <v>397</v>
      </c>
      <c r="J58" t="s">
        <v>398</v>
      </c>
      <c r="K58" t="s">
        <v>2</v>
      </c>
      <c r="L58" t="str">
        <f t="shared" si="0"/>
        <v>Critical Analysis: Damian_Market Intel Report Decodes Mining Dynamics!</v>
      </c>
      <c r="M58" t="str">
        <f t="shared" si="1"/>
        <v>Damian_2ND Follow-up on Mining Market Research Insights</v>
      </c>
    </row>
    <row r="59" spans="1:13" x14ac:dyDescent="0.25">
      <c r="A59" t="s">
        <v>399</v>
      </c>
      <c r="B59" t="s">
        <v>400</v>
      </c>
      <c r="C59" t="s">
        <v>176</v>
      </c>
      <c r="D59" t="s">
        <v>401</v>
      </c>
      <c r="E59" t="s">
        <v>402</v>
      </c>
      <c r="F59" t="s">
        <v>309</v>
      </c>
      <c r="G59" t="s">
        <v>403</v>
      </c>
      <c r="H59" t="s">
        <v>196</v>
      </c>
      <c r="I59" t="s">
        <v>404</v>
      </c>
      <c r="J59" t="s">
        <v>405</v>
      </c>
      <c r="K59" t="s">
        <v>2</v>
      </c>
      <c r="L59" t="str">
        <f t="shared" si="0"/>
        <v>Critical Analysis: David_Market Intel Report Decodes Mining Dynamics!</v>
      </c>
      <c r="M59" t="str">
        <f t="shared" si="1"/>
        <v>David_2ND Follow-up on Mining Market Research Insights</v>
      </c>
    </row>
    <row r="60" spans="1:13" x14ac:dyDescent="0.25">
      <c r="A60" t="s">
        <v>406</v>
      </c>
      <c r="B60" t="s">
        <v>407</v>
      </c>
      <c r="C60" t="s">
        <v>408</v>
      </c>
      <c r="D60" t="s">
        <v>409</v>
      </c>
      <c r="E60" t="s">
        <v>1</v>
      </c>
      <c r="F60" t="s">
        <v>217</v>
      </c>
      <c r="G60" t="s">
        <v>410</v>
      </c>
      <c r="H60" t="s">
        <v>411</v>
      </c>
      <c r="I60" t="s">
        <v>412</v>
      </c>
      <c r="J60" t="s">
        <v>413</v>
      </c>
      <c r="K60" t="s">
        <v>2</v>
      </c>
      <c r="L60" t="str">
        <f t="shared" si="0"/>
        <v>Critical Analysis: Marcel_Market Intel Report Decodes Mining Dynamics!</v>
      </c>
      <c r="M60" t="str">
        <f t="shared" si="1"/>
        <v>Marcel_2ND Follow-up on Mining Market Research Insights</v>
      </c>
    </row>
    <row r="61" spans="1:13" x14ac:dyDescent="0.25">
      <c r="A61" t="s">
        <v>153</v>
      </c>
      <c r="B61" t="s">
        <v>414</v>
      </c>
      <c r="C61" t="s">
        <v>415</v>
      </c>
      <c r="D61" t="s">
        <v>416</v>
      </c>
      <c r="E61" t="s">
        <v>417</v>
      </c>
      <c r="F61" t="s">
        <v>418</v>
      </c>
      <c r="G61" t="s">
        <v>419</v>
      </c>
      <c r="H61" t="s">
        <v>196</v>
      </c>
      <c r="I61" t="s">
        <v>1</v>
      </c>
      <c r="J61" t="s">
        <v>420</v>
      </c>
      <c r="K61" t="s">
        <v>2</v>
      </c>
      <c r="L61" t="str">
        <f t="shared" si="0"/>
        <v>Critical Analysis: John_Market Intel Report Decodes Mining Dynamics!</v>
      </c>
      <c r="M61" t="str">
        <f t="shared" si="1"/>
        <v>John_2ND Follow-up on Mining Market Research Insights</v>
      </c>
    </row>
    <row r="62" spans="1:13" x14ac:dyDescent="0.25">
      <c r="A62" t="s">
        <v>421</v>
      </c>
      <c r="B62" t="s">
        <v>422</v>
      </c>
      <c r="C62" t="s">
        <v>423</v>
      </c>
      <c r="D62" t="s">
        <v>424</v>
      </c>
      <c r="E62" t="s">
        <v>425</v>
      </c>
      <c r="F62" t="s">
        <v>317</v>
      </c>
      <c r="G62" t="s">
        <v>16</v>
      </c>
      <c r="H62" t="s">
        <v>196</v>
      </c>
      <c r="I62" t="s">
        <v>1</v>
      </c>
      <c r="J62" t="s">
        <v>426</v>
      </c>
      <c r="K62" t="s">
        <v>2</v>
      </c>
      <c r="L62" t="str">
        <f t="shared" si="0"/>
        <v>Critical Analysis: Rob_Market Intel Report Decodes Mining Dynamics!</v>
      </c>
      <c r="M62" t="str">
        <f t="shared" si="1"/>
        <v>Rob_2ND Follow-up on Mining Market Research Insights</v>
      </c>
    </row>
    <row r="63" spans="1:13" x14ac:dyDescent="0.25">
      <c r="A63" t="s">
        <v>427</v>
      </c>
      <c r="B63" t="s">
        <v>428</v>
      </c>
      <c r="C63" t="s">
        <v>429</v>
      </c>
      <c r="D63" t="s">
        <v>430</v>
      </c>
      <c r="E63" t="s">
        <v>431</v>
      </c>
      <c r="F63" t="s">
        <v>296</v>
      </c>
      <c r="G63" t="s">
        <v>432</v>
      </c>
      <c r="H63" t="s">
        <v>196</v>
      </c>
      <c r="I63" t="s">
        <v>433</v>
      </c>
      <c r="J63" t="s">
        <v>434</v>
      </c>
      <c r="K63" t="s">
        <v>2</v>
      </c>
      <c r="L63" t="str">
        <f t="shared" si="0"/>
        <v>Critical Analysis: Whitney_Market Intel Report Decodes Mining Dynamics!</v>
      </c>
      <c r="M63" t="str">
        <f t="shared" si="1"/>
        <v>Whitney_2ND Follow-up on Mining Market Research Insights</v>
      </c>
    </row>
    <row r="64" spans="1:13" x14ac:dyDescent="0.25">
      <c r="A64" t="s">
        <v>435</v>
      </c>
      <c r="B64" t="s">
        <v>436</v>
      </c>
      <c r="C64" t="s">
        <v>437</v>
      </c>
      <c r="D64" t="s">
        <v>438</v>
      </c>
      <c r="E64" t="s">
        <v>439</v>
      </c>
      <c r="F64" t="s">
        <v>317</v>
      </c>
      <c r="G64" t="s">
        <v>440</v>
      </c>
      <c r="H64" t="s">
        <v>196</v>
      </c>
      <c r="I64" t="s">
        <v>441</v>
      </c>
      <c r="J64" t="s">
        <v>442</v>
      </c>
      <c r="K64" t="s">
        <v>2</v>
      </c>
      <c r="L64" t="str">
        <f t="shared" si="0"/>
        <v>Critical Analysis: Robert_Market Intel Report Decodes Mining Dynamics!</v>
      </c>
      <c r="M64" t="str">
        <f t="shared" si="1"/>
        <v>Robert_2ND Follow-up on Mining Market Research Insights</v>
      </c>
    </row>
    <row r="65" spans="1:13" x14ac:dyDescent="0.25">
      <c r="A65" t="s">
        <v>443</v>
      </c>
      <c r="B65" t="s">
        <v>444</v>
      </c>
      <c r="C65" t="s">
        <v>33</v>
      </c>
      <c r="D65" t="s">
        <v>445</v>
      </c>
      <c r="E65" t="s">
        <v>446</v>
      </c>
      <c r="F65" t="s">
        <v>447</v>
      </c>
      <c r="G65" t="s">
        <v>16</v>
      </c>
      <c r="H65" t="s">
        <v>196</v>
      </c>
      <c r="I65" t="s">
        <v>1</v>
      </c>
      <c r="J65" t="s">
        <v>448</v>
      </c>
      <c r="K65" t="s">
        <v>2</v>
      </c>
      <c r="L65" t="str">
        <f t="shared" si="0"/>
        <v>Critical Analysis: Lucija_Market Intel Report Decodes Mining Dynamics!</v>
      </c>
      <c r="M65" t="str">
        <f t="shared" si="1"/>
        <v>Lucija_2ND Follow-up on Mining Market Research Insights</v>
      </c>
    </row>
    <row r="66" spans="1:13" x14ac:dyDescent="0.25">
      <c r="A66" t="s">
        <v>449</v>
      </c>
      <c r="B66" t="s">
        <v>450</v>
      </c>
      <c r="C66" t="s">
        <v>53</v>
      </c>
      <c r="D66" t="s">
        <v>451</v>
      </c>
      <c r="E66" t="s">
        <v>452</v>
      </c>
      <c r="F66" t="s">
        <v>395</v>
      </c>
      <c r="G66" t="s">
        <v>453</v>
      </c>
      <c r="H66" t="s">
        <v>196</v>
      </c>
      <c r="I66" t="s">
        <v>1</v>
      </c>
      <c r="J66" t="s">
        <v>454</v>
      </c>
      <c r="K66" t="s">
        <v>2</v>
      </c>
      <c r="L66" t="str">
        <f t="shared" ref="L66:L129" si="2">"Critical Analysis: "&amp;A66&amp;"_Market Intel Report Decodes "&amp;K66&amp;" Dynamics!"</f>
        <v>Critical Analysis: Thomas_Market Intel Report Decodes Mining Dynamics!</v>
      </c>
      <c r="M66" t="str">
        <f t="shared" si="1"/>
        <v>Thomas_2ND Follow-up on Mining Market Research Insights</v>
      </c>
    </row>
    <row r="67" spans="1:13" x14ac:dyDescent="0.25">
      <c r="A67" t="s">
        <v>455</v>
      </c>
      <c r="B67" t="s">
        <v>456</v>
      </c>
      <c r="C67" t="s">
        <v>457</v>
      </c>
      <c r="D67" t="s">
        <v>458</v>
      </c>
      <c r="E67" t="s">
        <v>459</v>
      </c>
      <c r="F67" t="s">
        <v>283</v>
      </c>
      <c r="G67" t="s">
        <v>460</v>
      </c>
      <c r="H67" t="s">
        <v>196</v>
      </c>
      <c r="I67" t="s">
        <v>1</v>
      </c>
      <c r="J67" t="s">
        <v>461</v>
      </c>
      <c r="K67" t="s">
        <v>2</v>
      </c>
      <c r="L67" t="str">
        <f t="shared" si="2"/>
        <v>Critical Analysis: Di_Market Intel Report Decodes Mining Dynamics!</v>
      </c>
      <c r="M67" t="str">
        <f t="shared" ref="M67:M130" si="3">A67&amp;"_2ND Follow-up on " &amp;K67&amp;" Market Research Insights"</f>
        <v>Di_2ND Follow-up on Mining Market Research Insights</v>
      </c>
    </row>
    <row r="68" spans="1:13" x14ac:dyDescent="0.25">
      <c r="A68" t="s">
        <v>462</v>
      </c>
      <c r="B68" t="s">
        <v>463</v>
      </c>
      <c r="C68" t="s">
        <v>26</v>
      </c>
      <c r="D68" t="s">
        <v>224</v>
      </c>
      <c r="E68" t="s">
        <v>464</v>
      </c>
      <c r="F68" t="s">
        <v>226</v>
      </c>
      <c r="G68" t="s">
        <v>227</v>
      </c>
      <c r="H68" t="s">
        <v>196</v>
      </c>
      <c r="I68" t="s">
        <v>228</v>
      </c>
      <c r="J68" t="s">
        <v>465</v>
      </c>
      <c r="K68" t="s">
        <v>2</v>
      </c>
      <c r="L68" t="str">
        <f t="shared" si="2"/>
        <v>Critical Analysis: Martina_Market Intel Report Decodes Mining Dynamics!</v>
      </c>
      <c r="M68" t="str">
        <f t="shared" si="3"/>
        <v>Martina_2ND Follow-up on Mining Market Research Insights</v>
      </c>
    </row>
    <row r="69" spans="1:13" x14ac:dyDescent="0.25">
      <c r="A69" t="s">
        <v>466</v>
      </c>
      <c r="B69" t="s">
        <v>467</v>
      </c>
      <c r="C69" t="s">
        <v>113</v>
      </c>
      <c r="D69" t="s">
        <v>468</v>
      </c>
      <c r="E69" t="s">
        <v>469</v>
      </c>
      <c r="F69" t="s">
        <v>470</v>
      </c>
      <c r="G69" t="s">
        <v>471</v>
      </c>
      <c r="H69" t="s">
        <v>196</v>
      </c>
      <c r="I69" t="s">
        <v>472</v>
      </c>
      <c r="J69" t="s">
        <v>473</v>
      </c>
      <c r="K69" t="s">
        <v>2</v>
      </c>
      <c r="L69" t="str">
        <f t="shared" si="2"/>
        <v>Critical Analysis: Kathlen_Market Intel Report Decodes Mining Dynamics!</v>
      </c>
      <c r="M69" t="str">
        <f t="shared" si="3"/>
        <v>Kathlen_2ND Follow-up on Mining Market Research Insights</v>
      </c>
    </row>
    <row r="70" spans="1:13" x14ac:dyDescent="0.25">
      <c r="A70" t="s">
        <v>474</v>
      </c>
      <c r="B70" t="s">
        <v>475</v>
      </c>
      <c r="C70" t="s">
        <v>476</v>
      </c>
      <c r="D70" t="s">
        <v>477</v>
      </c>
      <c r="E70" t="s">
        <v>478</v>
      </c>
      <c r="F70" t="s">
        <v>479</v>
      </c>
      <c r="G70" t="s">
        <v>16</v>
      </c>
      <c r="H70" t="s">
        <v>196</v>
      </c>
      <c r="I70" t="s">
        <v>1</v>
      </c>
      <c r="J70" t="s">
        <v>480</v>
      </c>
      <c r="K70" t="s">
        <v>2</v>
      </c>
      <c r="L70" t="str">
        <f t="shared" si="2"/>
        <v>Critical Analysis: Antonino_Market Intel Report Decodes Mining Dynamics!</v>
      </c>
      <c r="M70" t="str">
        <f t="shared" si="3"/>
        <v>Antonino_2ND Follow-up on Mining Market Research Insights</v>
      </c>
    </row>
    <row r="71" spans="1:13" x14ac:dyDescent="0.25">
      <c r="A71" t="s">
        <v>486</v>
      </c>
      <c r="B71" t="s">
        <v>487</v>
      </c>
      <c r="C71" t="s">
        <v>488</v>
      </c>
      <c r="D71" t="s">
        <v>489</v>
      </c>
      <c r="E71" t="s">
        <v>490</v>
      </c>
      <c r="F71" t="s">
        <v>1</v>
      </c>
      <c r="G71" t="s">
        <v>491</v>
      </c>
      <c r="H71" t="s">
        <v>1</v>
      </c>
      <c r="I71" t="s">
        <v>1</v>
      </c>
      <c r="J71" t="s">
        <v>492</v>
      </c>
      <c r="K71" t="s">
        <v>2</v>
      </c>
      <c r="L71" t="str">
        <f t="shared" si="2"/>
        <v>Critical Analysis: Brian_Market Intel Report Decodes Mining Dynamics!</v>
      </c>
      <c r="M71" t="str">
        <f t="shared" si="3"/>
        <v>Brian_2ND Follow-up on Mining Market Research Insights</v>
      </c>
    </row>
    <row r="72" spans="1:13" x14ac:dyDescent="0.25">
      <c r="A72" t="s">
        <v>493</v>
      </c>
      <c r="B72" t="s">
        <v>494</v>
      </c>
      <c r="C72" t="s">
        <v>10</v>
      </c>
      <c r="D72" t="s">
        <v>495</v>
      </c>
      <c r="E72" t="s">
        <v>496</v>
      </c>
      <c r="F72" t="s">
        <v>1</v>
      </c>
      <c r="G72" t="s">
        <v>497</v>
      </c>
      <c r="H72" t="s">
        <v>1</v>
      </c>
      <c r="I72" t="s">
        <v>1</v>
      </c>
      <c r="J72" t="s">
        <v>498</v>
      </c>
      <c r="K72" t="s">
        <v>2</v>
      </c>
      <c r="L72" t="str">
        <f t="shared" si="2"/>
        <v>Critical Analysis: Esra_Market Intel Report Decodes Mining Dynamics!</v>
      </c>
      <c r="M72" t="str">
        <f t="shared" si="3"/>
        <v>Esra_2ND Follow-up on Mining Market Research Insights</v>
      </c>
    </row>
    <row r="73" spans="1:13" x14ac:dyDescent="0.25">
      <c r="A73" t="s">
        <v>499</v>
      </c>
      <c r="B73" t="s">
        <v>500</v>
      </c>
      <c r="C73" t="s">
        <v>33</v>
      </c>
      <c r="D73" t="s">
        <v>501</v>
      </c>
      <c r="E73" t="s">
        <v>502</v>
      </c>
      <c r="F73" t="s">
        <v>1</v>
      </c>
      <c r="G73" t="s">
        <v>503</v>
      </c>
      <c r="H73" t="s">
        <v>1</v>
      </c>
      <c r="I73" t="s">
        <v>1</v>
      </c>
      <c r="J73" t="s">
        <v>504</v>
      </c>
      <c r="K73" t="s">
        <v>2</v>
      </c>
      <c r="L73" t="str">
        <f t="shared" si="2"/>
        <v>Critical Analysis: Stephanie_Market Intel Report Decodes Mining Dynamics!</v>
      </c>
      <c r="M73" t="str">
        <f t="shared" si="3"/>
        <v>Stephanie_2ND Follow-up on Mining Market Research Insights</v>
      </c>
    </row>
    <row r="74" spans="1:13" x14ac:dyDescent="0.25">
      <c r="A74" t="s">
        <v>505</v>
      </c>
      <c r="B74" t="s">
        <v>506</v>
      </c>
      <c r="C74" t="s">
        <v>507</v>
      </c>
      <c r="D74" t="s">
        <v>224</v>
      </c>
      <c r="E74" t="s">
        <v>508</v>
      </c>
      <c r="F74" t="s">
        <v>1</v>
      </c>
      <c r="G74" t="s">
        <v>227</v>
      </c>
      <c r="H74" t="s">
        <v>1</v>
      </c>
      <c r="I74" t="s">
        <v>1</v>
      </c>
      <c r="J74" t="s">
        <v>509</v>
      </c>
      <c r="K74" t="s">
        <v>2</v>
      </c>
      <c r="L74" t="str">
        <f t="shared" si="2"/>
        <v>Critical Analysis: Marcelo_Market Intel Report Decodes Mining Dynamics!</v>
      </c>
      <c r="M74" t="str">
        <f t="shared" si="3"/>
        <v>Marcelo_2ND Follow-up on Mining Market Research Insights</v>
      </c>
    </row>
    <row r="75" spans="1:13" x14ac:dyDescent="0.25">
      <c r="A75" t="s">
        <v>510</v>
      </c>
      <c r="B75" t="s">
        <v>511</v>
      </c>
      <c r="C75" t="s">
        <v>512</v>
      </c>
      <c r="D75" t="s">
        <v>513</v>
      </c>
      <c r="E75" t="s">
        <v>514</v>
      </c>
      <c r="F75" t="s">
        <v>1</v>
      </c>
      <c r="G75" t="s">
        <v>16</v>
      </c>
      <c r="H75" t="s">
        <v>1</v>
      </c>
      <c r="I75" t="s">
        <v>1</v>
      </c>
      <c r="J75" t="s">
        <v>515</v>
      </c>
      <c r="K75" t="s">
        <v>2</v>
      </c>
      <c r="L75" t="str">
        <f t="shared" si="2"/>
        <v>Critical Analysis: Stewart_Market Intel Report Decodes Mining Dynamics!</v>
      </c>
      <c r="M75" t="str">
        <f t="shared" si="3"/>
        <v>Stewart_2ND Follow-up on Mining Market Research Insights</v>
      </c>
    </row>
    <row r="76" spans="1:13" x14ac:dyDescent="0.25">
      <c r="A76" t="s">
        <v>517</v>
      </c>
      <c r="B76" t="s">
        <v>518</v>
      </c>
      <c r="C76" t="s">
        <v>519</v>
      </c>
      <c r="D76" t="s">
        <v>520</v>
      </c>
      <c r="E76" t="s">
        <v>521</v>
      </c>
      <c r="F76" t="s">
        <v>1</v>
      </c>
      <c r="G76" t="s">
        <v>522</v>
      </c>
      <c r="H76" t="s">
        <v>1</v>
      </c>
      <c r="I76" t="s">
        <v>1</v>
      </c>
      <c r="J76" t="s">
        <v>523</v>
      </c>
      <c r="K76" t="s">
        <v>2</v>
      </c>
      <c r="L76" t="str">
        <f t="shared" si="2"/>
        <v>Critical Analysis: Selia_Market Intel Report Decodes Mining Dynamics!</v>
      </c>
      <c r="M76" t="str">
        <f t="shared" si="3"/>
        <v>Selia_2ND Follow-up on Mining Market Research Insights</v>
      </c>
    </row>
    <row r="77" spans="1:13" x14ac:dyDescent="0.25">
      <c r="A77" t="s">
        <v>153</v>
      </c>
      <c r="B77" t="s">
        <v>525</v>
      </c>
      <c r="C77" t="s">
        <v>526</v>
      </c>
      <c r="D77" t="s">
        <v>527</v>
      </c>
      <c r="E77" t="s">
        <v>528</v>
      </c>
      <c r="F77" t="s">
        <v>1</v>
      </c>
      <c r="G77" t="s">
        <v>16</v>
      </c>
      <c r="H77" t="s">
        <v>1</v>
      </c>
      <c r="I77" t="s">
        <v>1</v>
      </c>
      <c r="J77" t="s">
        <v>529</v>
      </c>
      <c r="K77" t="s">
        <v>2</v>
      </c>
      <c r="L77" t="str">
        <f t="shared" si="2"/>
        <v>Critical Analysis: John_Market Intel Report Decodes Mining Dynamics!</v>
      </c>
      <c r="M77" t="str">
        <f t="shared" si="3"/>
        <v>John_2ND Follow-up on Mining Market Research Insights</v>
      </c>
    </row>
    <row r="78" spans="1:13" x14ac:dyDescent="0.25">
      <c r="A78" t="s">
        <v>530</v>
      </c>
      <c r="B78" t="s">
        <v>531</v>
      </c>
      <c r="C78" t="s">
        <v>532</v>
      </c>
      <c r="D78" t="s">
        <v>533</v>
      </c>
      <c r="E78" t="s">
        <v>534</v>
      </c>
      <c r="F78" t="s">
        <v>1</v>
      </c>
      <c r="G78" t="s">
        <v>16</v>
      </c>
      <c r="H78" t="s">
        <v>1</v>
      </c>
      <c r="I78" t="s">
        <v>1</v>
      </c>
      <c r="J78" t="s">
        <v>535</v>
      </c>
      <c r="K78" t="s">
        <v>2</v>
      </c>
      <c r="L78" t="str">
        <f t="shared" si="2"/>
        <v>Critical Analysis: Oscar_Market Intel Report Decodes Mining Dynamics!</v>
      </c>
      <c r="M78" t="str">
        <f t="shared" si="3"/>
        <v>Oscar_2ND Follow-up on Mining Market Research Insights</v>
      </c>
    </row>
    <row r="79" spans="1:13" x14ac:dyDescent="0.25">
      <c r="A79" t="s">
        <v>536</v>
      </c>
      <c r="B79" t="s">
        <v>537</v>
      </c>
      <c r="C79" t="s">
        <v>33</v>
      </c>
      <c r="D79" t="s">
        <v>538</v>
      </c>
      <c r="E79" t="s">
        <v>539</v>
      </c>
      <c r="F79" t="s">
        <v>1</v>
      </c>
      <c r="G79" t="s">
        <v>16</v>
      </c>
      <c r="H79" t="s">
        <v>1</v>
      </c>
      <c r="I79" t="s">
        <v>1</v>
      </c>
      <c r="J79" t="s">
        <v>540</v>
      </c>
      <c r="K79" t="s">
        <v>2</v>
      </c>
      <c r="L79" t="str">
        <f t="shared" si="2"/>
        <v>Critical Analysis: Jared_Market Intel Report Decodes Mining Dynamics!</v>
      </c>
      <c r="M79" t="str">
        <f t="shared" si="3"/>
        <v>Jared_2ND Follow-up on Mining Market Research Insights</v>
      </c>
    </row>
    <row r="80" spans="1:13" x14ac:dyDescent="0.25">
      <c r="A80" t="s">
        <v>541</v>
      </c>
      <c r="B80" t="s">
        <v>542</v>
      </c>
      <c r="C80" t="s">
        <v>53</v>
      </c>
      <c r="D80" t="s">
        <v>543</v>
      </c>
      <c r="E80" t="s">
        <v>544</v>
      </c>
      <c r="F80" t="s">
        <v>1</v>
      </c>
      <c r="G80" t="s">
        <v>545</v>
      </c>
      <c r="H80" t="s">
        <v>1</v>
      </c>
      <c r="I80" t="s">
        <v>1</v>
      </c>
      <c r="J80" t="s">
        <v>546</v>
      </c>
      <c r="K80" t="s">
        <v>2</v>
      </c>
      <c r="L80" t="str">
        <f t="shared" si="2"/>
        <v>Critical Analysis: Steffen_Market Intel Report Decodes Mining Dynamics!</v>
      </c>
      <c r="M80" t="str">
        <f t="shared" si="3"/>
        <v>Steffen_2ND Follow-up on Mining Market Research Insights</v>
      </c>
    </row>
    <row r="81" spans="1:13" x14ac:dyDescent="0.25">
      <c r="A81" t="s">
        <v>547</v>
      </c>
      <c r="B81" t="s">
        <v>548</v>
      </c>
      <c r="C81" t="s">
        <v>549</v>
      </c>
      <c r="D81" t="s">
        <v>550</v>
      </c>
      <c r="E81" t="s">
        <v>446</v>
      </c>
      <c r="F81" t="s">
        <v>1</v>
      </c>
      <c r="G81" t="s">
        <v>551</v>
      </c>
      <c r="H81" t="s">
        <v>1</v>
      </c>
      <c r="I81" t="s">
        <v>1</v>
      </c>
      <c r="J81" t="s">
        <v>552</v>
      </c>
      <c r="K81" t="s">
        <v>2</v>
      </c>
      <c r="L81" t="str">
        <f t="shared" si="2"/>
        <v>Critical Analysis: Debbie_Market Intel Report Decodes Mining Dynamics!</v>
      </c>
      <c r="M81" t="str">
        <f t="shared" si="3"/>
        <v>Debbie_2ND Follow-up on Mining Market Research Insights</v>
      </c>
    </row>
    <row r="82" spans="1:13" x14ac:dyDescent="0.25">
      <c r="A82" t="s">
        <v>49</v>
      </c>
      <c r="B82" t="s">
        <v>553</v>
      </c>
      <c r="C82" t="s">
        <v>554</v>
      </c>
      <c r="D82" t="s">
        <v>555</v>
      </c>
      <c r="E82" t="s">
        <v>556</v>
      </c>
      <c r="F82" t="s">
        <v>1</v>
      </c>
      <c r="G82" t="s">
        <v>557</v>
      </c>
      <c r="H82" t="s">
        <v>1</v>
      </c>
      <c r="I82" t="s">
        <v>1</v>
      </c>
      <c r="J82" t="s">
        <v>558</v>
      </c>
      <c r="K82" t="s">
        <v>2</v>
      </c>
      <c r="L82" t="str">
        <f t="shared" si="2"/>
        <v>Critical Analysis: Jon_Market Intel Report Decodes Mining Dynamics!</v>
      </c>
      <c r="M82" t="str">
        <f t="shared" si="3"/>
        <v>Jon_2ND Follow-up on Mining Market Research Insights</v>
      </c>
    </row>
    <row r="83" spans="1:13" x14ac:dyDescent="0.25">
      <c r="A83" t="s">
        <v>559</v>
      </c>
      <c r="B83" t="s">
        <v>560</v>
      </c>
      <c r="C83" t="s">
        <v>53</v>
      </c>
      <c r="D83" t="s">
        <v>561</v>
      </c>
      <c r="E83" t="s">
        <v>562</v>
      </c>
      <c r="F83" t="s">
        <v>1</v>
      </c>
      <c r="G83" t="s">
        <v>16</v>
      </c>
      <c r="H83" t="s">
        <v>1</v>
      </c>
      <c r="I83" t="s">
        <v>1</v>
      </c>
      <c r="J83" t="s">
        <v>563</v>
      </c>
      <c r="K83" t="s">
        <v>2</v>
      </c>
      <c r="L83" t="str">
        <f t="shared" si="2"/>
        <v>Critical Analysis: Patrick_Market Intel Report Decodes Mining Dynamics!</v>
      </c>
      <c r="M83" t="str">
        <f t="shared" si="3"/>
        <v>Patrick_2ND Follow-up on Mining Market Research Insights</v>
      </c>
    </row>
    <row r="84" spans="1:13" x14ac:dyDescent="0.25">
      <c r="A84" t="s">
        <v>564</v>
      </c>
      <c r="B84" t="s">
        <v>565</v>
      </c>
      <c r="C84" t="s">
        <v>566</v>
      </c>
      <c r="D84" t="s">
        <v>567</v>
      </c>
      <c r="E84" t="s">
        <v>568</v>
      </c>
      <c r="F84" t="s">
        <v>1</v>
      </c>
      <c r="G84" t="s">
        <v>16</v>
      </c>
      <c r="H84" t="s">
        <v>1</v>
      </c>
      <c r="I84" t="s">
        <v>1</v>
      </c>
      <c r="J84" t="s">
        <v>569</v>
      </c>
      <c r="K84" t="s">
        <v>2</v>
      </c>
      <c r="L84" t="str">
        <f t="shared" si="2"/>
        <v>Critical Analysis: Sebastian_Market Intel Report Decodes Mining Dynamics!</v>
      </c>
      <c r="M84" t="str">
        <f t="shared" si="3"/>
        <v>Sebastian_2ND Follow-up on Mining Market Research Insights</v>
      </c>
    </row>
    <row r="85" spans="1:13" x14ac:dyDescent="0.25">
      <c r="A85" t="s">
        <v>570</v>
      </c>
      <c r="B85" t="s">
        <v>571</v>
      </c>
      <c r="C85" t="s">
        <v>572</v>
      </c>
      <c r="D85" t="s">
        <v>573</v>
      </c>
      <c r="E85" t="s">
        <v>574</v>
      </c>
      <c r="F85" t="s">
        <v>1</v>
      </c>
      <c r="G85" t="s">
        <v>575</v>
      </c>
      <c r="H85" t="s">
        <v>1</v>
      </c>
      <c r="I85" t="s">
        <v>1</v>
      </c>
      <c r="J85" t="s">
        <v>576</v>
      </c>
      <c r="K85" t="s">
        <v>2</v>
      </c>
      <c r="L85" t="str">
        <f t="shared" si="2"/>
        <v>Critical Analysis: Rhonda_Market Intel Report Decodes Mining Dynamics!</v>
      </c>
      <c r="M85" t="str">
        <f t="shared" si="3"/>
        <v>Rhonda_2ND Follow-up on Mining Market Research Insights</v>
      </c>
    </row>
    <row r="86" spans="1:13" x14ac:dyDescent="0.25">
      <c r="A86" t="s">
        <v>577</v>
      </c>
      <c r="B86" t="s">
        <v>578</v>
      </c>
      <c r="C86" t="s">
        <v>579</v>
      </c>
      <c r="D86" t="s">
        <v>580</v>
      </c>
      <c r="E86" t="s">
        <v>581</v>
      </c>
      <c r="F86" t="s">
        <v>1</v>
      </c>
      <c r="G86" t="s">
        <v>582</v>
      </c>
      <c r="H86" t="s">
        <v>1</v>
      </c>
      <c r="I86" t="s">
        <v>1</v>
      </c>
      <c r="J86" t="s">
        <v>583</v>
      </c>
      <c r="K86" t="s">
        <v>2</v>
      </c>
      <c r="L86" t="str">
        <f t="shared" si="2"/>
        <v>Critical Analysis: Missy_Market Intel Report Decodes Mining Dynamics!</v>
      </c>
      <c r="M86" t="str">
        <f t="shared" si="3"/>
        <v>Missy_2ND Follow-up on Mining Market Research Insights</v>
      </c>
    </row>
    <row r="87" spans="1:13" x14ac:dyDescent="0.25">
      <c r="A87" t="s">
        <v>139</v>
      </c>
      <c r="B87" t="s">
        <v>584</v>
      </c>
      <c r="C87" t="s">
        <v>585</v>
      </c>
      <c r="D87" t="s">
        <v>586</v>
      </c>
      <c r="E87" t="s">
        <v>587</v>
      </c>
      <c r="F87" t="s">
        <v>1</v>
      </c>
      <c r="G87" t="s">
        <v>588</v>
      </c>
      <c r="H87" t="s">
        <v>1</v>
      </c>
      <c r="I87" t="s">
        <v>1</v>
      </c>
      <c r="J87" t="s">
        <v>589</v>
      </c>
      <c r="K87" t="s">
        <v>2</v>
      </c>
      <c r="L87" t="str">
        <f t="shared" si="2"/>
        <v>Critical Analysis: Martin_Market Intel Report Decodes Mining Dynamics!</v>
      </c>
      <c r="M87" t="str">
        <f t="shared" si="3"/>
        <v>Martin_2ND Follow-up on Mining Market Research Insights</v>
      </c>
    </row>
    <row r="88" spans="1:13" x14ac:dyDescent="0.25">
      <c r="A88" t="s">
        <v>590</v>
      </c>
      <c r="B88" t="s">
        <v>243</v>
      </c>
      <c r="C88" t="s">
        <v>176</v>
      </c>
      <c r="D88" t="s">
        <v>591</v>
      </c>
      <c r="E88" t="s">
        <v>592</v>
      </c>
      <c r="F88" t="s">
        <v>1</v>
      </c>
      <c r="G88" t="s">
        <v>593</v>
      </c>
      <c r="H88" t="s">
        <v>1</v>
      </c>
      <c r="I88" t="s">
        <v>1</v>
      </c>
      <c r="J88" t="s">
        <v>594</v>
      </c>
      <c r="K88" t="s">
        <v>2</v>
      </c>
      <c r="L88" t="str">
        <f t="shared" si="2"/>
        <v>Critical Analysis: Mark_Market Intel Report Decodes Mining Dynamics!</v>
      </c>
      <c r="M88" t="str">
        <f t="shared" si="3"/>
        <v>Mark_2ND Follow-up on Mining Market Research Insights</v>
      </c>
    </row>
    <row r="89" spans="1:13" x14ac:dyDescent="0.25">
      <c r="A89" t="s">
        <v>595</v>
      </c>
      <c r="B89" t="s">
        <v>596</v>
      </c>
      <c r="C89" t="s">
        <v>597</v>
      </c>
      <c r="D89" t="s">
        <v>598</v>
      </c>
      <c r="E89" t="s">
        <v>78</v>
      </c>
      <c r="F89" t="s">
        <v>1</v>
      </c>
      <c r="G89" t="s">
        <v>599</v>
      </c>
      <c r="H89" t="s">
        <v>1</v>
      </c>
      <c r="I89" t="s">
        <v>1</v>
      </c>
      <c r="J89" t="s">
        <v>600</v>
      </c>
      <c r="K89" t="s">
        <v>2</v>
      </c>
      <c r="L89" t="str">
        <f t="shared" si="2"/>
        <v>Critical Analysis: Linda_Market Intel Report Decodes Mining Dynamics!</v>
      </c>
      <c r="M89" t="str">
        <f t="shared" si="3"/>
        <v>Linda_2ND Follow-up on Mining Market Research Insights</v>
      </c>
    </row>
    <row r="90" spans="1:13" x14ac:dyDescent="0.25">
      <c r="A90" t="s">
        <v>486</v>
      </c>
      <c r="B90" t="s">
        <v>601</v>
      </c>
      <c r="C90" t="s">
        <v>602</v>
      </c>
      <c r="D90" t="s">
        <v>603</v>
      </c>
      <c r="E90" t="s">
        <v>604</v>
      </c>
      <c r="F90" t="s">
        <v>1</v>
      </c>
      <c r="G90" t="s">
        <v>605</v>
      </c>
      <c r="H90" t="s">
        <v>1</v>
      </c>
      <c r="I90" t="s">
        <v>1</v>
      </c>
      <c r="J90" t="s">
        <v>606</v>
      </c>
      <c r="K90" t="s">
        <v>2</v>
      </c>
      <c r="L90" t="str">
        <f t="shared" si="2"/>
        <v>Critical Analysis: Brian_Market Intel Report Decodes Mining Dynamics!</v>
      </c>
      <c r="M90" t="str">
        <f t="shared" si="3"/>
        <v>Brian_2ND Follow-up on Mining Market Research Insights</v>
      </c>
    </row>
    <row r="91" spans="1:13" x14ac:dyDescent="0.25">
      <c r="A91" t="s">
        <v>607</v>
      </c>
      <c r="B91" t="s">
        <v>608</v>
      </c>
      <c r="C91" t="s">
        <v>609</v>
      </c>
      <c r="D91" t="s">
        <v>610</v>
      </c>
      <c r="E91" t="s">
        <v>611</v>
      </c>
      <c r="F91" t="s">
        <v>1</v>
      </c>
      <c r="G91" t="s">
        <v>612</v>
      </c>
      <c r="H91" t="s">
        <v>1</v>
      </c>
      <c r="I91" t="s">
        <v>1</v>
      </c>
      <c r="J91" t="s">
        <v>613</v>
      </c>
      <c r="K91" t="s">
        <v>2</v>
      </c>
      <c r="L91" t="str">
        <f t="shared" si="2"/>
        <v>Critical Analysis: Mike_Market Intel Report Decodes Mining Dynamics!</v>
      </c>
      <c r="M91" t="str">
        <f t="shared" si="3"/>
        <v>Mike_2ND Follow-up on Mining Market Research Insights</v>
      </c>
    </row>
    <row r="92" spans="1:13" x14ac:dyDescent="0.25">
      <c r="A92" t="s">
        <v>614</v>
      </c>
      <c r="B92" t="s">
        <v>243</v>
      </c>
      <c r="C92" t="s">
        <v>26</v>
      </c>
      <c r="D92" t="s">
        <v>615</v>
      </c>
      <c r="E92" t="s">
        <v>616</v>
      </c>
      <c r="F92" t="s">
        <v>617</v>
      </c>
      <c r="G92" t="s">
        <v>618</v>
      </c>
      <c r="H92" t="s">
        <v>196</v>
      </c>
      <c r="I92" t="s">
        <v>619</v>
      </c>
      <c r="J92" t="s">
        <v>620</v>
      </c>
      <c r="K92" t="s">
        <v>2</v>
      </c>
      <c r="L92" t="str">
        <f t="shared" si="2"/>
        <v>Critical Analysis: Kevin_Market Intel Report Decodes Mining Dynamics!</v>
      </c>
      <c r="M92" t="str">
        <f t="shared" si="3"/>
        <v>Kevin_2ND Follow-up on Mining Market Research Insights</v>
      </c>
    </row>
    <row r="93" spans="1:13" x14ac:dyDescent="0.25">
      <c r="A93" t="s">
        <v>621</v>
      </c>
      <c r="B93" t="s">
        <v>622</v>
      </c>
      <c r="C93" t="s">
        <v>623</v>
      </c>
      <c r="D93" t="s">
        <v>624</v>
      </c>
      <c r="E93" t="s">
        <v>625</v>
      </c>
      <c r="F93" t="s">
        <v>626</v>
      </c>
      <c r="G93" t="s">
        <v>627</v>
      </c>
      <c r="H93" t="s">
        <v>196</v>
      </c>
      <c r="I93" t="s">
        <v>628</v>
      </c>
      <c r="J93" t="s">
        <v>629</v>
      </c>
      <c r="K93" t="s">
        <v>2</v>
      </c>
      <c r="L93" t="str">
        <f t="shared" si="2"/>
        <v>Critical Analysis: Bhavisha_Market Intel Report Decodes Mining Dynamics!</v>
      </c>
      <c r="M93" t="str">
        <f t="shared" si="3"/>
        <v>Bhavisha_2ND Follow-up on Mining Market Research Insights</v>
      </c>
    </row>
    <row r="94" spans="1:13" x14ac:dyDescent="0.25">
      <c r="A94" t="s">
        <v>630</v>
      </c>
      <c r="B94" t="s">
        <v>631</v>
      </c>
      <c r="C94" t="s">
        <v>632</v>
      </c>
      <c r="D94" t="s">
        <v>633</v>
      </c>
      <c r="E94" t="s">
        <v>634</v>
      </c>
      <c r="F94" t="s">
        <v>195</v>
      </c>
      <c r="G94" t="s">
        <v>16</v>
      </c>
      <c r="H94" t="s">
        <v>196</v>
      </c>
      <c r="I94" t="s">
        <v>1</v>
      </c>
      <c r="J94" t="s">
        <v>635</v>
      </c>
      <c r="K94" t="s">
        <v>2</v>
      </c>
      <c r="L94" t="str">
        <f t="shared" si="2"/>
        <v>Critical Analysis: Ali_Market Intel Report Decodes Mining Dynamics!</v>
      </c>
      <c r="M94" t="str">
        <f t="shared" si="3"/>
        <v>Ali_2ND Follow-up on Mining Market Research Insights</v>
      </c>
    </row>
    <row r="95" spans="1:13" x14ac:dyDescent="0.25">
      <c r="A95" t="s">
        <v>636</v>
      </c>
      <c r="B95" t="s">
        <v>637</v>
      </c>
      <c r="C95" t="s">
        <v>33</v>
      </c>
      <c r="D95" t="s">
        <v>638</v>
      </c>
      <c r="E95" t="s">
        <v>639</v>
      </c>
      <c r="F95" t="s">
        <v>640</v>
      </c>
      <c r="G95" t="s">
        <v>641</v>
      </c>
      <c r="H95" t="s">
        <v>196</v>
      </c>
      <c r="I95" t="s">
        <v>642</v>
      </c>
      <c r="J95" t="s">
        <v>643</v>
      </c>
      <c r="K95" t="s">
        <v>2</v>
      </c>
      <c r="L95" t="str">
        <f t="shared" si="2"/>
        <v>Critical Analysis: Adam_Market Intel Report Decodes Mining Dynamics!</v>
      </c>
      <c r="M95" t="str">
        <f t="shared" si="3"/>
        <v>Adam_2ND Follow-up on Mining Market Research Insights</v>
      </c>
    </row>
    <row r="96" spans="1:13" x14ac:dyDescent="0.25">
      <c r="A96" t="s">
        <v>644</v>
      </c>
      <c r="B96" t="s">
        <v>645</v>
      </c>
      <c r="C96" t="s">
        <v>141</v>
      </c>
      <c r="D96" t="s">
        <v>646</v>
      </c>
      <c r="E96" t="s">
        <v>647</v>
      </c>
      <c r="F96" t="s">
        <v>395</v>
      </c>
      <c r="G96" t="s">
        <v>16</v>
      </c>
      <c r="H96" t="s">
        <v>196</v>
      </c>
      <c r="I96" t="s">
        <v>1</v>
      </c>
      <c r="J96" t="s">
        <v>648</v>
      </c>
      <c r="K96" t="s">
        <v>2</v>
      </c>
      <c r="L96" t="str">
        <f t="shared" si="2"/>
        <v>Critical Analysis: Mario_Market Intel Report Decodes Mining Dynamics!</v>
      </c>
      <c r="M96" t="str">
        <f t="shared" si="3"/>
        <v>Mario_2ND Follow-up on Mining Market Research Insights</v>
      </c>
    </row>
    <row r="97" spans="1:13" x14ac:dyDescent="0.25">
      <c r="A97" t="s">
        <v>649</v>
      </c>
      <c r="B97" t="s">
        <v>650</v>
      </c>
      <c r="C97" t="s">
        <v>651</v>
      </c>
      <c r="D97" t="s">
        <v>652</v>
      </c>
      <c r="E97" t="s">
        <v>653</v>
      </c>
      <c r="F97" t="s">
        <v>654</v>
      </c>
      <c r="G97" t="s">
        <v>16</v>
      </c>
      <c r="H97" t="s">
        <v>196</v>
      </c>
      <c r="I97" t="s">
        <v>655</v>
      </c>
      <c r="J97" t="s">
        <v>656</v>
      </c>
      <c r="K97" t="s">
        <v>2</v>
      </c>
      <c r="L97" t="str">
        <f t="shared" si="2"/>
        <v>Critical Analysis: Alex_Market Intel Report Decodes Mining Dynamics!</v>
      </c>
      <c r="M97" t="str">
        <f t="shared" si="3"/>
        <v>Alex_2ND Follow-up on Mining Market Research Insights</v>
      </c>
    </row>
    <row r="98" spans="1:13" x14ac:dyDescent="0.25">
      <c r="A98" t="s">
        <v>657</v>
      </c>
      <c r="B98" t="s">
        <v>658</v>
      </c>
      <c r="C98" t="s">
        <v>659</v>
      </c>
      <c r="D98" t="s">
        <v>660</v>
      </c>
      <c r="E98" t="s">
        <v>661</v>
      </c>
      <c r="F98" t="s">
        <v>662</v>
      </c>
      <c r="G98" t="s">
        <v>663</v>
      </c>
      <c r="H98" t="s">
        <v>196</v>
      </c>
      <c r="I98" t="s">
        <v>1</v>
      </c>
      <c r="J98" t="s">
        <v>664</v>
      </c>
      <c r="K98" t="s">
        <v>2</v>
      </c>
      <c r="L98" t="str">
        <f t="shared" si="2"/>
        <v>Critical Analysis: Ola_Market Intel Report Decodes Mining Dynamics!</v>
      </c>
      <c r="M98" t="str">
        <f t="shared" si="3"/>
        <v>Ola_2ND Follow-up on Mining Market Research Insights</v>
      </c>
    </row>
    <row r="99" spans="1:13" x14ac:dyDescent="0.25">
      <c r="A99" t="s">
        <v>665</v>
      </c>
      <c r="B99" t="s">
        <v>666</v>
      </c>
      <c r="C99" t="s">
        <v>667</v>
      </c>
      <c r="D99" t="s">
        <v>668</v>
      </c>
      <c r="E99" t="s">
        <v>669</v>
      </c>
      <c r="F99" t="s">
        <v>232</v>
      </c>
      <c r="G99" t="s">
        <v>16</v>
      </c>
      <c r="H99" t="s">
        <v>196</v>
      </c>
      <c r="I99" t="s">
        <v>670</v>
      </c>
      <c r="J99" t="s">
        <v>671</v>
      </c>
      <c r="K99" t="s">
        <v>2</v>
      </c>
      <c r="L99" t="str">
        <f t="shared" si="2"/>
        <v>Critical Analysis: Guenter_Market Intel Report Decodes Mining Dynamics!</v>
      </c>
      <c r="M99" t="str">
        <f t="shared" si="3"/>
        <v>Guenter_2ND Follow-up on Mining Market Research Insights</v>
      </c>
    </row>
    <row r="100" spans="1:13" x14ac:dyDescent="0.25">
      <c r="A100" t="s">
        <v>672</v>
      </c>
      <c r="B100" t="s">
        <v>673</v>
      </c>
      <c r="C100" t="s">
        <v>674</v>
      </c>
      <c r="D100" t="s">
        <v>675</v>
      </c>
      <c r="E100" t="s">
        <v>676</v>
      </c>
      <c r="F100" t="s">
        <v>262</v>
      </c>
      <c r="G100" t="s">
        <v>677</v>
      </c>
      <c r="H100" t="s">
        <v>196</v>
      </c>
      <c r="I100" t="s">
        <v>1</v>
      </c>
      <c r="J100" t="s">
        <v>678</v>
      </c>
      <c r="K100" t="s">
        <v>2</v>
      </c>
      <c r="L100" t="str">
        <f t="shared" si="2"/>
        <v>Critical Analysis: Nathan_Market Intel Report Decodes Mining Dynamics!</v>
      </c>
      <c r="M100" t="str">
        <f t="shared" si="3"/>
        <v>Nathan_2ND Follow-up on Mining Market Research Insights</v>
      </c>
    </row>
    <row r="101" spans="1:13" x14ac:dyDescent="0.25">
      <c r="A101" t="s">
        <v>481</v>
      </c>
      <c r="B101" t="s">
        <v>679</v>
      </c>
      <c r="C101" t="s">
        <v>482</v>
      </c>
      <c r="D101" t="s">
        <v>483</v>
      </c>
      <c r="E101" t="s">
        <v>484</v>
      </c>
      <c r="F101" t="s">
        <v>680</v>
      </c>
      <c r="G101" t="s">
        <v>485</v>
      </c>
      <c r="H101" t="s">
        <v>196</v>
      </c>
      <c r="I101" t="s">
        <v>1</v>
      </c>
      <c r="J101" t="s">
        <v>681</v>
      </c>
      <c r="K101" t="s">
        <v>2</v>
      </c>
      <c r="L101" t="str">
        <f t="shared" si="2"/>
        <v>Critical Analysis: Karin_Market Intel Report Decodes Mining Dynamics!</v>
      </c>
      <c r="M101" t="str">
        <f t="shared" si="3"/>
        <v>Karin_2ND Follow-up on Mining Market Research Insights</v>
      </c>
    </row>
    <row r="102" spans="1:13" x14ac:dyDescent="0.25">
      <c r="A102" t="s">
        <v>682</v>
      </c>
      <c r="B102" t="s">
        <v>683</v>
      </c>
      <c r="C102" t="s">
        <v>684</v>
      </c>
      <c r="D102" t="s">
        <v>685</v>
      </c>
      <c r="E102" t="s">
        <v>686</v>
      </c>
      <c r="F102" t="s">
        <v>687</v>
      </c>
      <c r="G102" t="s">
        <v>688</v>
      </c>
      <c r="H102" t="s">
        <v>196</v>
      </c>
      <c r="I102" t="s">
        <v>689</v>
      </c>
      <c r="J102" t="s">
        <v>690</v>
      </c>
      <c r="K102" t="s">
        <v>2</v>
      </c>
      <c r="L102" t="str">
        <f t="shared" si="2"/>
        <v>Critical Analysis: Hugo_Market Intel Report Decodes Mining Dynamics!</v>
      </c>
      <c r="M102" t="str">
        <f t="shared" si="3"/>
        <v>Hugo_2ND Follow-up on Mining Market Research Insights</v>
      </c>
    </row>
    <row r="103" spans="1:13" x14ac:dyDescent="0.25">
      <c r="A103" t="s">
        <v>691</v>
      </c>
      <c r="B103" t="s">
        <v>692</v>
      </c>
      <c r="C103" t="s">
        <v>437</v>
      </c>
      <c r="D103" t="s">
        <v>693</v>
      </c>
      <c r="E103" t="s">
        <v>694</v>
      </c>
      <c r="F103" t="s">
        <v>695</v>
      </c>
      <c r="G103" t="s">
        <v>696</v>
      </c>
      <c r="H103" t="s">
        <v>353</v>
      </c>
      <c r="I103" t="s">
        <v>697</v>
      </c>
      <c r="J103" t="s">
        <v>698</v>
      </c>
      <c r="K103" t="s">
        <v>2</v>
      </c>
      <c r="L103" t="str">
        <f t="shared" si="2"/>
        <v>Critical Analysis: Billy_Market Intel Report Decodes Mining Dynamics!</v>
      </c>
      <c r="M103" t="str">
        <f t="shared" si="3"/>
        <v>Billy_2ND Follow-up on Mining Market Research Insights</v>
      </c>
    </row>
    <row r="104" spans="1:13" x14ac:dyDescent="0.25">
      <c r="A104" t="s">
        <v>337</v>
      </c>
      <c r="B104" t="s">
        <v>699</v>
      </c>
      <c r="C104" t="s">
        <v>700</v>
      </c>
      <c r="D104" t="s">
        <v>701</v>
      </c>
      <c r="E104" t="s">
        <v>308</v>
      </c>
      <c r="F104" t="s">
        <v>302</v>
      </c>
      <c r="G104" t="s">
        <v>702</v>
      </c>
      <c r="H104" t="s">
        <v>196</v>
      </c>
      <c r="I104" t="s">
        <v>703</v>
      </c>
      <c r="J104" t="s">
        <v>704</v>
      </c>
      <c r="K104" t="s">
        <v>2</v>
      </c>
      <c r="L104" t="str">
        <f t="shared" si="2"/>
        <v>Critical Analysis: Luke_Market Intel Report Decodes Mining Dynamics!</v>
      </c>
      <c r="M104" t="str">
        <f t="shared" si="3"/>
        <v>Luke_2ND Follow-up on Mining Market Research Insights</v>
      </c>
    </row>
    <row r="105" spans="1:13" x14ac:dyDescent="0.25">
      <c r="A105" t="s">
        <v>705</v>
      </c>
      <c r="B105" t="s">
        <v>706</v>
      </c>
      <c r="C105" t="s">
        <v>707</v>
      </c>
      <c r="D105" t="s">
        <v>708</v>
      </c>
      <c r="E105" t="s">
        <v>709</v>
      </c>
      <c r="F105" t="s">
        <v>710</v>
      </c>
      <c r="G105" t="s">
        <v>16</v>
      </c>
      <c r="H105" t="s">
        <v>196</v>
      </c>
      <c r="I105" t="s">
        <v>711</v>
      </c>
      <c r="J105" t="s">
        <v>712</v>
      </c>
      <c r="K105" t="s">
        <v>2</v>
      </c>
      <c r="L105" t="str">
        <f t="shared" si="2"/>
        <v>Critical Analysis: Moamer_Market Intel Report Decodes Mining Dynamics!</v>
      </c>
      <c r="M105" t="str">
        <f t="shared" si="3"/>
        <v>Moamer_2ND Follow-up on Mining Market Research Insights</v>
      </c>
    </row>
    <row r="106" spans="1:13" x14ac:dyDescent="0.25">
      <c r="A106" t="s">
        <v>713</v>
      </c>
      <c r="B106" t="s">
        <v>714</v>
      </c>
      <c r="C106" t="s">
        <v>715</v>
      </c>
      <c r="D106" t="s">
        <v>716</v>
      </c>
      <c r="E106" t="s">
        <v>717</v>
      </c>
      <c r="F106" t="s">
        <v>203</v>
      </c>
      <c r="G106" t="s">
        <v>16</v>
      </c>
      <c r="H106" t="s">
        <v>196</v>
      </c>
      <c r="I106" t="s">
        <v>718</v>
      </c>
      <c r="J106" t="s">
        <v>719</v>
      </c>
      <c r="K106" t="s">
        <v>2</v>
      </c>
      <c r="L106" t="str">
        <f t="shared" si="2"/>
        <v>Critical Analysis: Ralf_Market Intel Report Decodes Mining Dynamics!</v>
      </c>
      <c r="M106" t="str">
        <f t="shared" si="3"/>
        <v>Ralf_2ND Follow-up on Mining Market Research Insights</v>
      </c>
    </row>
    <row r="107" spans="1:13" x14ac:dyDescent="0.25">
      <c r="A107" t="s">
        <v>720</v>
      </c>
      <c r="B107" t="s">
        <v>721</v>
      </c>
      <c r="C107" t="s">
        <v>722</v>
      </c>
      <c r="D107" t="s">
        <v>723</v>
      </c>
      <c r="E107" t="s">
        <v>724</v>
      </c>
      <c r="F107" t="s">
        <v>725</v>
      </c>
      <c r="G107" t="s">
        <v>726</v>
      </c>
      <c r="H107" t="s">
        <v>196</v>
      </c>
      <c r="I107" t="s">
        <v>1</v>
      </c>
      <c r="J107" t="s">
        <v>727</v>
      </c>
      <c r="K107" t="s">
        <v>2</v>
      </c>
      <c r="L107" t="str">
        <f t="shared" si="2"/>
        <v>Critical Analysis: Aygul_Market Intel Report Decodes Mining Dynamics!</v>
      </c>
      <c r="M107" t="str">
        <f t="shared" si="3"/>
        <v>Aygul_2ND Follow-up on Mining Market Research Insights</v>
      </c>
    </row>
    <row r="108" spans="1:13" x14ac:dyDescent="0.25">
      <c r="A108" t="s">
        <v>728</v>
      </c>
      <c r="B108" t="s">
        <v>729</v>
      </c>
      <c r="C108" t="s">
        <v>77</v>
      </c>
      <c r="D108" t="s">
        <v>730</v>
      </c>
      <c r="E108" t="s">
        <v>731</v>
      </c>
      <c r="F108" t="s">
        <v>732</v>
      </c>
      <c r="G108" t="s">
        <v>16</v>
      </c>
      <c r="H108" t="s">
        <v>196</v>
      </c>
      <c r="I108" t="s">
        <v>733</v>
      </c>
      <c r="J108" t="s">
        <v>734</v>
      </c>
      <c r="K108" t="s">
        <v>2</v>
      </c>
      <c r="L108" t="str">
        <f t="shared" si="2"/>
        <v>Critical Analysis: Cengiz_Market Intel Report Decodes Mining Dynamics!</v>
      </c>
      <c r="M108" t="str">
        <f t="shared" si="3"/>
        <v>Cengiz_2ND Follow-up on Mining Market Research Insights</v>
      </c>
    </row>
    <row r="109" spans="1:13" x14ac:dyDescent="0.25">
      <c r="A109" t="s">
        <v>735</v>
      </c>
      <c r="B109" t="s">
        <v>736</v>
      </c>
      <c r="C109" t="s">
        <v>33</v>
      </c>
      <c r="D109" t="s">
        <v>737</v>
      </c>
      <c r="E109" t="s">
        <v>738</v>
      </c>
      <c r="F109" t="s">
        <v>739</v>
      </c>
      <c r="G109" t="s">
        <v>740</v>
      </c>
      <c r="H109" t="s">
        <v>196</v>
      </c>
      <c r="I109" t="s">
        <v>741</v>
      </c>
      <c r="J109" t="s">
        <v>742</v>
      </c>
      <c r="K109" t="s">
        <v>2</v>
      </c>
      <c r="L109" t="str">
        <f t="shared" si="2"/>
        <v>Critical Analysis: Blain_Market Intel Report Decodes Mining Dynamics!</v>
      </c>
      <c r="M109" t="str">
        <f t="shared" si="3"/>
        <v>Blain_2ND Follow-up on Mining Market Research Insights</v>
      </c>
    </row>
    <row r="110" spans="1:13" x14ac:dyDescent="0.25">
      <c r="A110" t="s">
        <v>644</v>
      </c>
      <c r="B110" t="s">
        <v>743</v>
      </c>
      <c r="C110" t="s">
        <v>744</v>
      </c>
      <c r="D110" t="s">
        <v>745</v>
      </c>
      <c r="E110" t="s">
        <v>746</v>
      </c>
      <c r="F110" t="s">
        <v>732</v>
      </c>
      <c r="G110" t="s">
        <v>16</v>
      </c>
      <c r="H110" t="s">
        <v>196</v>
      </c>
      <c r="I110" t="s">
        <v>747</v>
      </c>
      <c r="J110" t="s">
        <v>748</v>
      </c>
      <c r="K110" t="s">
        <v>2</v>
      </c>
      <c r="L110" t="str">
        <f t="shared" si="2"/>
        <v>Critical Analysis: Mario_Market Intel Report Decodes Mining Dynamics!</v>
      </c>
      <c r="M110" t="str">
        <f t="shared" si="3"/>
        <v>Mario_2ND Follow-up on Mining Market Research Insights</v>
      </c>
    </row>
    <row r="111" spans="1:13" x14ac:dyDescent="0.25">
      <c r="A111" t="s">
        <v>749</v>
      </c>
      <c r="B111" t="s">
        <v>750</v>
      </c>
      <c r="C111" t="s">
        <v>751</v>
      </c>
      <c r="D111" t="s">
        <v>224</v>
      </c>
      <c r="E111" t="s">
        <v>752</v>
      </c>
      <c r="F111" t="s">
        <v>226</v>
      </c>
      <c r="G111" t="s">
        <v>227</v>
      </c>
      <c r="H111" t="s">
        <v>196</v>
      </c>
      <c r="I111" t="s">
        <v>228</v>
      </c>
      <c r="J111" t="s">
        <v>753</v>
      </c>
      <c r="K111" t="s">
        <v>2</v>
      </c>
      <c r="L111" t="str">
        <f t="shared" si="2"/>
        <v>Critical Analysis: Bruno_Market Intel Report Decodes Mining Dynamics!</v>
      </c>
      <c r="M111" t="str">
        <f t="shared" si="3"/>
        <v>Bruno_2ND Follow-up on Mining Market Research Insights</v>
      </c>
    </row>
    <row r="112" spans="1:13" x14ac:dyDescent="0.25">
      <c r="A112" t="s">
        <v>754</v>
      </c>
      <c r="B112" t="s">
        <v>755</v>
      </c>
      <c r="C112" t="s">
        <v>756</v>
      </c>
      <c r="D112" t="s">
        <v>757</v>
      </c>
      <c r="E112" t="s">
        <v>758</v>
      </c>
      <c r="F112" t="s">
        <v>365</v>
      </c>
      <c r="G112" t="s">
        <v>759</v>
      </c>
      <c r="H112" t="s">
        <v>196</v>
      </c>
      <c r="I112" t="s">
        <v>760</v>
      </c>
      <c r="J112" t="s">
        <v>761</v>
      </c>
      <c r="K112" t="s">
        <v>2</v>
      </c>
      <c r="L112" t="str">
        <f t="shared" si="2"/>
        <v>Critical Analysis: Danilo_Market Intel Report Decodes Mining Dynamics!</v>
      </c>
      <c r="M112" t="str">
        <f t="shared" si="3"/>
        <v>Danilo_2ND Follow-up on Mining Market Research Insights</v>
      </c>
    </row>
    <row r="113" spans="1:13" x14ac:dyDescent="0.25">
      <c r="A113" t="s">
        <v>762</v>
      </c>
      <c r="B113" t="s">
        <v>763</v>
      </c>
      <c r="C113" t="s">
        <v>764</v>
      </c>
      <c r="D113" t="s">
        <v>765</v>
      </c>
      <c r="E113" t="s">
        <v>766</v>
      </c>
      <c r="F113" t="s">
        <v>302</v>
      </c>
      <c r="G113" t="s">
        <v>767</v>
      </c>
      <c r="H113" t="s">
        <v>196</v>
      </c>
      <c r="I113" t="s">
        <v>768</v>
      </c>
      <c r="J113" t="s">
        <v>769</v>
      </c>
      <c r="K113" t="s">
        <v>2</v>
      </c>
      <c r="L113" t="str">
        <f t="shared" si="2"/>
        <v>Critical Analysis: Bruce_Market Intel Report Decodes Mining Dynamics!</v>
      </c>
      <c r="M113" t="str">
        <f t="shared" si="3"/>
        <v>Bruce_2ND Follow-up on Mining Market Research Insights</v>
      </c>
    </row>
    <row r="114" spans="1:13" x14ac:dyDescent="0.25">
      <c r="A114" t="s">
        <v>770</v>
      </c>
      <c r="B114" t="s">
        <v>771</v>
      </c>
      <c r="C114" t="s">
        <v>53</v>
      </c>
      <c r="D114" t="s">
        <v>772</v>
      </c>
      <c r="E114" t="s">
        <v>773</v>
      </c>
      <c r="F114" t="s">
        <v>232</v>
      </c>
      <c r="G114" t="s">
        <v>774</v>
      </c>
      <c r="H114" t="s">
        <v>196</v>
      </c>
      <c r="I114" t="s">
        <v>775</v>
      </c>
      <c r="J114" t="s">
        <v>776</v>
      </c>
      <c r="K114" t="s">
        <v>2</v>
      </c>
      <c r="L114" t="str">
        <f t="shared" si="2"/>
        <v>Critical Analysis: Marko_Market Intel Report Decodes Mining Dynamics!</v>
      </c>
      <c r="M114" t="str">
        <f t="shared" si="3"/>
        <v>Marko_2ND Follow-up on Mining Market Research Insights</v>
      </c>
    </row>
    <row r="115" spans="1:13" x14ac:dyDescent="0.25">
      <c r="A115" t="s">
        <v>777</v>
      </c>
      <c r="B115" t="s">
        <v>778</v>
      </c>
      <c r="C115" t="s">
        <v>779</v>
      </c>
      <c r="D115" t="s">
        <v>780</v>
      </c>
      <c r="E115" t="s">
        <v>781</v>
      </c>
      <c r="F115" t="s">
        <v>782</v>
      </c>
      <c r="G115" t="s">
        <v>783</v>
      </c>
      <c r="H115" t="s">
        <v>196</v>
      </c>
      <c r="I115" t="s">
        <v>784</v>
      </c>
      <c r="J115" t="s">
        <v>785</v>
      </c>
      <c r="K115" t="s">
        <v>2</v>
      </c>
      <c r="L115" t="str">
        <f t="shared" si="2"/>
        <v>Critical Analysis: Rowena_Market Intel Report Decodes Mining Dynamics!</v>
      </c>
      <c r="M115" t="str">
        <f t="shared" si="3"/>
        <v>Rowena_2ND Follow-up on Mining Market Research Insights</v>
      </c>
    </row>
    <row r="116" spans="1:13" x14ac:dyDescent="0.25">
      <c r="A116" t="s">
        <v>786</v>
      </c>
      <c r="B116" t="s">
        <v>787</v>
      </c>
      <c r="C116" t="s">
        <v>176</v>
      </c>
      <c r="D116" t="s">
        <v>788</v>
      </c>
      <c r="E116" t="s">
        <v>789</v>
      </c>
      <c r="F116" t="s">
        <v>447</v>
      </c>
      <c r="G116" t="s">
        <v>16</v>
      </c>
      <c r="H116" t="s">
        <v>196</v>
      </c>
      <c r="I116" t="s">
        <v>790</v>
      </c>
      <c r="J116" t="s">
        <v>791</v>
      </c>
      <c r="K116" t="s">
        <v>2</v>
      </c>
      <c r="L116" t="str">
        <f t="shared" si="2"/>
        <v>Critical Analysis: Gordy_Market Intel Report Decodes Mining Dynamics!</v>
      </c>
      <c r="M116" t="str">
        <f t="shared" si="3"/>
        <v>Gordy_2ND Follow-up on Mining Market Research Insights</v>
      </c>
    </row>
    <row r="117" spans="1:13" x14ac:dyDescent="0.25">
      <c r="A117" t="s">
        <v>792</v>
      </c>
      <c r="B117" t="s">
        <v>793</v>
      </c>
      <c r="C117" t="s">
        <v>794</v>
      </c>
      <c r="D117" t="s">
        <v>795</v>
      </c>
      <c r="E117" t="s">
        <v>796</v>
      </c>
      <c r="F117" t="s">
        <v>479</v>
      </c>
      <c r="G117" t="s">
        <v>16</v>
      </c>
      <c r="H117" t="s">
        <v>196</v>
      </c>
      <c r="I117" t="s">
        <v>1</v>
      </c>
      <c r="J117" t="s">
        <v>797</v>
      </c>
      <c r="K117" t="s">
        <v>2</v>
      </c>
      <c r="L117" t="str">
        <f t="shared" si="2"/>
        <v>Critical Analysis: Fabio_Market Intel Report Decodes Mining Dynamics!</v>
      </c>
      <c r="M117" t="str">
        <f t="shared" si="3"/>
        <v>Fabio_2ND Follow-up on Mining Market Research Insights</v>
      </c>
    </row>
    <row r="118" spans="1:13" x14ac:dyDescent="0.25">
      <c r="A118" t="s">
        <v>798</v>
      </c>
      <c r="B118" t="s">
        <v>799</v>
      </c>
      <c r="C118" t="s">
        <v>800</v>
      </c>
      <c r="D118" t="s">
        <v>801</v>
      </c>
      <c r="E118" t="s">
        <v>802</v>
      </c>
      <c r="F118" t="s">
        <v>803</v>
      </c>
      <c r="G118" t="s">
        <v>804</v>
      </c>
      <c r="H118" t="s">
        <v>196</v>
      </c>
      <c r="I118" t="s">
        <v>1</v>
      </c>
      <c r="J118" t="s">
        <v>805</v>
      </c>
      <c r="K118" t="s">
        <v>2</v>
      </c>
      <c r="L118" t="str">
        <f t="shared" si="2"/>
        <v>Critical Analysis: Timo_Market Intel Report Decodes Mining Dynamics!</v>
      </c>
      <c r="M118" t="str">
        <f t="shared" si="3"/>
        <v>Timo_2ND Follow-up on Mining Market Research Insights</v>
      </c>
    </row>
    <row r="119" spans="1:13" x14ac:dyDescent="0.25">
      <c r="A119" t="s">
        <v>449</v>
      </c>
      <c r="B119" t="s">
        <v>806</v>
      </c>
      <c r="C119" t="s">
        <v>53</v>
      </c>
      <c r="D119" t="s">
        <v>807</v>
      </c>
      <c r="E119" t="s">
        <v>808</v>
      </c>
      <c r="F119" t="s">
        <v>302</v>
      </c>
      <c r="G119" t="s">
        <v>16</v>
      </c>
      <c r="H119" t="s">
        <v>196</v>
      </c>
      <c r="I119" t="s">
        <v>809</v>
      </c>
      <c r="J119" t="s">
        <v>810</v>
      </c>
      <c r="K119" t="s">
        <v>2</v>
      </c>
      <c r="L119" t="str">
        <f t="shared" si="2"/>
        <v>Critical Analysis: Thomas_Market Intel Report Decodes Mining Dynamics!</v>
      </c>
      <c r="M119" t="str">
        <f t="shared" si="3"/>
        <v>Thomas_2ND Follow-up on Mining Market Research Insights</v>
      </c>
    </row>
    <row r="120" spans="1:13" x14ac:dyDescent="0.25">
      <c r="A120" t="s">
        <v>811</v>
      </c>
      <c r="B120" t="s">
        <v>812</v>
      </c>
      <c r="C120" t="s">
        <v>10</v>
      </c>
      <c r="D120" t="s">
        <v>813</v>
      </c>
      <c r="E120" t="s">
        <v>653</v>
      </c>
      <c r="F120" t="s">
        <v>814</v>
      </c>
      <c r="G120" t="s">
        <v>815</v>
      </c>
      <c r="H120" t="s">
        <v>353</v>
      </c>
      <c r="I120" t="s">
        <v>816</v>
      </c>
      <c r="J120" t="s">
        <v>817</v>
      </c>
      <c r="K120" t="s">
        <v>2</v>
      </c>
      <c r="L120" t="str">
        <f t="shared" si="2"/>
        <v>Critical Analysis: Andrey_Market Intel Report Decodes Mining Dynamics!</v>
      </c>
      <c r="M120" t="str">
        <f t="shared" si="3"/>
        <v>Andrey_2ND Follow-up on Mining Market Research Insights</v>
      </c>
    </row>
    <row r="121" spans="1:13" x14ac:dyDescent="0.25">
      <c r="A121" t="s">
        <v>818</v>
      </c>
      <c r="B121" t="s">
        <v>819</v>
      </c>
      <c r="C121" t="s">
        <v>820</v>
      </c>
      <c r="D121" t="s">
        <v>821</v>
      </c>
      <c r="E121" t="s">
        <v>333</v>
      </c>
      <c r="F121" t="s">
        <v>232</v>
      </c>
      <c r="G121" t="s">
        <v>822</v>
      </c>
      <c r="H121" t="s">
        <v>196</v>
      </c>
      <c r="I121" t="s">
        <v>823</v>
      </c>
      <c r="J121" t="s">
        <v>824</v>
      </c>
      <c r="K121" t="s">
        <v>2</v>
      </c>
      <c r="L121" t="str">
        <f t="shared" si="2"/>
        <v>Critical Analysis: Enric_Market Intel Report Decodes Mining Dynamics!</v>
      </c>
      <c r="M121" t="str">
        <f t="shared" si="3"/>
        <v>Enric_2ND Follow-up on Mining Market Research Insights</v>
      </c>
    </row>
    <row r="122" spans="1:13" x14ac:dyDescent="0.25">
      <c r="A122" t="s">
        <v>825</v>
      </c>
      <c r="B122" t="s">
        <v>826</v>
      </c>
      <c r="C122" t="s">
        <v>10</v>
      </c>
      <c r="D122" t="s">
        <v>827</v>
      </c>
      <c r="E122" t="s">
        <v>828</v>
      </c>
      <c r="F122" t="s">
        <v>195</v>
      </c>
      <c r="G122" t="s">
        <v>16</v>
      </c>
      <c r="H122" t="s">
        <v>196</v>
      </c>
      <c r="I122" t="s">
        <v>829</v>
      </c>
      <c r="J122" t="s">
        <v>830</v>
      </c>
      <c r="K122" t="s">
        <v>2</v>
      </c>
      <c r="L122" t="str">
        <f t="shared" si="2"/>
        <v>Critical Analysis: Katie_Market Intel Report Decodes Mining Dynamics!</v>
      </c>
      <c r="M122" t="str">
        <f t="shared" si="3"/>
        <v>Katie_2ND Follow-up on Mining Market Research Insights</v>
      </c>
    </row>
    <row r="123" spans="1:13" x14ac:dyDescent="0.25">
      <c r="A123" t="s">
        <v>607</v>
      </c>
      <c r="B123" t="s">
        <v>831</v>
      </c>
      <c r="C123" t="s">
        <v>832</v>
      </c>
      <c r="D123" t="s">
        <v>833</v>
      </c>
      <c r="E123" t="s">
        <v>834</v>
      </c>
      <c r="F123" t="s">
        <v>695</v>
      </c>
      <c r="G123" t="s">
        <v>16</v>
      </c>
      <c r="H123" t="s">
        <v>196</v>
      </c>
      <c r="I123" t="s">
        <v>835</v>
      </c>
      <c r="J123" t="s">
        <v>836</v>
      </c>
      <c r="K123" t="s">
        <v>2</v>
      </c>
      <c r="L123" t="str">
        <f t="shared" si="2"/>
        <v>Critical Analysis: Mike_Market Intel Report Decodes Mining Dynamics!</v>
      </c>
      <c r="M123" t="str">
        <f t="shared" si="3"/>
        <v>Mike_2ND Follow-up on Mining Market Research Insights</v>
      </c>
    </row>
    <row r="124" spans="1:13" x14ac:dyDescent="0.25">
      <c r="A124" t="s">
        <v>837</v>
      </c>
      <c r="B124" t="s">
        <v>838</v>
      </c>
      <c r="C124" t="s">
        <v>26</v>
      </c>
      <c r="D124" t="s">
        <v>839</v>
      </c>
      <c r="E124" t="s">
        <v>840</v>
      </c>
      <c r="F124" t="s">
        <v>447</v>
      </c>
      <c r="G124" t="s">
        <v>841</v>
      </c>
      <c r="H124" t="s">
        <v>196</v>
      </c>
      <c r="I124" t="s">
        <v>842</v>
      </c>
      <c r="J124" t="s">
        <v>843</v>
      </c>
      <c r="K124" t="s">
        <v>2</v>
      </c>
      <c r="L124" t="str">
        <f t="shared" si="2"/>
        <v>Critical Analysis: Anthony_Market Intel Report Decodes Mining Dynamics!</v>
      </c>
      <c r="M124" t="str">
        <f t="shared" si="3"/>
        <v>Anthony_2ND Follow-up on Mining Market Research Insights</v>
      </c>
    </row>
    <row r="125" spans="1:13" x14ac:dyDescent="0.25">
      <c r="A125" t="s">
        <v>844</v>
      </c>
      <c r="B125" t="s">
        <v>845</v>
      </c>
      <c r="C125" t="s">
        <v>846</v>
      </c>
      <c r="D125" t="s">
        <v>847</v>
      </c>
      <c r="E125" t="s">
        <v>848</v>
      </c>
      <c r="F125" t="s">
        <v>296</v>
      </c>
      <c r="G125" t="s">
        <v>849</v>
      </c>
      <c r="H125" t="s">
        <v>196</v>
      </c>
      <c r="I125" t="s">
        <v>850</v>
      </c>
      <c r="J125" t="s">
        <v>851</v>
      </c>
      <c r="K125" t="s">
        <v>2</v>
      </c>
      <c r="L125" t="str">
        <f t="shared" si="2"/>
        <v>Critical Analysis: Jean-Marc_Market Intel Report Decodes Mining Dynamics!</v>
      </c>
      <c r="M125" t="str">
        <f t="shared" si="3"/>
        <v>Jean-Marc_2ND Follow-up on Mining Market Research Insights</v>
      </c>
    </row>
    <row r="126" spans="1:13" x14ac:dyDescent="0.25">
      <c r="A126" t="s">
        <v>449</v>
      </c>
      <c r="B126" t="s">
        <v>852</v>
      </c>
      <c r="C126" t="s">
        <v>853</v>
      </c>
      <c r="D126" t="s">
        <v>854</v>
      </c>
      <c r="E126" t="s">
        <v>446</v>
      </c>
      <c r="F126" t="s">
        <v>395</v>
      </c>
      <c r="G126" t="s">
        <v>855</v>
      </c>
      <c r="H126" t="s">
        <v>196</v>
      </c>
      <c r="I126" t="s">
        <v>1</v>
      </c>
      <c r="J126" t="s">
        <v>856</v>
      </c>
      <c r="K126" t="s">
        <v>2</v>
      </c>
      <c r="L126" t="str">
        <f t="shared" si="2"/>
        <v>Critical Analysis: Thomas_Market Intel Report Decodes Mining Dynamics!</v>
      </c>
      <c r="M126" t="str">
        <f t="shared" si="3"/>
        <v>Thomas_2ND Follow-up on Mining Market Research Insights</v>
      </c>
    </row>
    <row r="127" spans="1:13" x14ac:dyDescent="0.25">
      <c r="A127" t="s">
        <v>857</v>
      </c>
      <c r="B127" t="s">
        <v>858</v>
      </c>
      <c r="C127" t="s">
        <v>53</v>
      </c>
      <c r="D127" t="s">
        <v>859</v>
      </c>
      <c r="E127" t="s">
        <v>1</v>
      </c>
      <c r="F127" t="s">
        <v>860</v>
      </c>
      <c r="G127" t="s">
        <v>16</v>
      </c>
      <c r="H127" t="s">
        <v>196</v>
      </c>
      <c r="I127" t="s">
        <v>1</v>
      </c>
      <c r="J127" t="s">
        <v>861</v>
      </c>
      <c r="K127" t="s">
        <v>2</v>
      </c>
      <c r="L127" t="str">
        <f t="shared" si="2"/>
        <v>Critical Analysis: Mariam_Market Intel Report Decodes Mining Dynamics!</v>
      </c>
      <c r="M127" t="str">
        <f t="shared" si="3"/>
        <v>Mariam_2ND Follow-up on Mining Market Research Insights</v>
      </c>
    </row>
    <row r="128" spans="1:13" x14ac:dyDescent="0.25">
      <c r="A128" t="s">
        <v>862</v>
      </c>
      <c r="B128" t="s">
        <v>863</v>
      </c>
      <c r="C128" t="s">
        <v>864</v>
      </c>
      <c r="D128" t="s">
        <v>865</v>
      </c>
      <c r="E128" t="s">
        <v>866</v>
      </c>
      <c r="F128" t="s">
        <v>867</v>
      </c>
      <c r="G128" t="s">
        <v>16</v>
      </c>
      <c r="H128" t="s">
        <v>196</v>
      </c>
      <c r="I128" t="s">
        <v>868</v>
      </c>
      <c r="J128" t="s">
        <v>869</v>
      </c>
      <c r="K128" t="s">
        <v>2</v>
      </c>
      <c r="L128" t="str">
        <f t="shared" si="2"/>
        <v>Critical Analysis: Tianhong_Market Intel Report Decodes Mining Dynamics!</v>
      </c>
      <c r="M128" t="str">
        <f t="shared" si="3"/>
        <v>Tianhong_2ND Follow-up on Mining Market Research Insights</v>
      </c>
    </row>
    <row r="129" spans="1:13" x14ac:dyDescent="0.25">
      <c r="A129" t="s">
        <v>421</v>
      </c>
      <c r="B129" t="s">
        <v>872</v>
      </c>
      <c r="C129" t="s">
        <v>873</v>
      </c>
      <c r="D129" t="s">
        <v>874</v>
      </c>
      <c r="E129" t="s">
        <v>28</v>
      </c>
      <c r="F129" t="s">
        <v>296</v>
      </c>
      <c r="G129" t="s">
        <v>875</v>
      </c>
      <c r="H129" t="s">
        <v>196</v>
      </c>
      <c r="I129" t="s">
        <v>876</v>
      </c>
      <c r="J129" t="s">
        <v>877</v>
      </c>
      <c r="K129" t="s">
        <v>2</v>
      </c>
      <c r="L129" t="str">
        <f t="shared" si="2"/>
        <v>Critical Analysis: Rob_Market Intel Report Decodes Mining Dynamics!</v>
      </c>
      <c r="M129" t="str">
        <f t="shared" si="3"/>
        <v>Rob_2ND Follow-up on Mining Market Research Insights</v>
      </c>
    </row>
    <row r="130" spans="1:13" x14ac:dyDescent="0.25">
      <c r="A130" t="s">
        <v>878</v>
      </c>
      <c r="B130" t="s">
        <v>879</v>
      </c>
      <c r="C130" t="s">
        <v>880</v>
      </c>
      <c r="D130" t="s">
        <v>780</v>
      </c>
      <c r="E130" t="s">
        <v>881</v>
      </c>
      <c r="F130" t="s">
        <v>782</v>
      </c>
      <c r="G130" t="s">
        <v>783</v>
      </c>
      <c r="H130" t="s">
        <v>196</v>
      </c>
      <c r="I130" t="s">
        <v>784</v>
      </c>
      <c r="J130" t="s">
        <v>882</v>
      </c>
      <c r="K130" t="s">
        <v>2</v>
      </c>
      <c r="L130" t="str">
        <f t="shared" ref="L130:L193" si="4">"Critical Analysis: "&amp;A130&amp;"_Market Intel Report Decodes "&amp;K130&amp;" Dynamics!"</f>
        <v>Critical Analysis: Sven_Market Intel Report Decodes Mining Dynamics!</v>
      </c>
      <c r="M130" t="str">
        <f t="shared" si="3"/>
        <v>Sven_2ND Follow-up on Mining Market Research Insights</v>
      </c>
    </row>
    <row r="131" spans="1:13" x14ac:dyDescent="0.25">
      <c r="A131" t="s">
        <v>883</v>
      </c>
      <c r="B131" t="s">
        <v>884</v>
      </c>
      <c r="C131" t="s">
        <v>113</v>
      </c>
      <c r="D131" t="s">
        <v>885</v>
      </c>
      <c r="E131" t="s">
        <v>886</v>
      </c>
      <c r="F131" t="s">
        <v>887</v>
      </c>
      <c r="G131" t="s">
        <v>888</v>
      </c>
      <c r="H131" t="s">
        <v>196</v>
      </c>
      <c r="I131" t="s">
        <v>889</v>
      </c>
      <c r="J131" t="s">
        <v>890</v>
      </c>
      <c r="K131" t="s">
        <v>2</v>
      </c>
      <c r="L131" t="str">
        <f t="shared" si="4"/>
        <v>Critical Analysis: Carlo_Market Intel Report Decodes Mining Dynamics!</v>
      </c>
      <c r="M131" t="str">
        <f t="shared" ref="M131:M194" si="5">A131&amp;"_2ND Follow-up on " &amp;K131&amp;" Market Research Insights"</f>
        <v>Carlo_2ND Follow-up on Mining Market Research Insights</v>
      </c>
    </row>
    <row r="132" spans="1:13" x14ac:dyDescent="0.25">
      <c r="A132" t="s">
        <v>891</v>
      </c>
      <c r="B132" t="s">
        <v>892</v>
      </c>
      <c r="C132" t="s">
        <v>33</v>
      </c>
      <c r="D132" t="s">
        <v>893</v>
      </c>
      <c r="E132" t="s">
        <v>894</v>
      </c>
      <c r="F132" t="s">
        <v>895</v>
      </c>
      <c r="G132" t="s">
        <v>16</v>
      </c>
      <c r="H132" t="s">
        <v>196</v>
      </c>
      <c r="I132" t="s">
        <v>896</v>
      </c>
      <c r="J132" t="s">
        <v>897</v>
      </c>
      <c r="K132" t="s">
        <v>2</v>
      </c>
      <c r="L132" t="str">
        <f t="shared" si="4"/>
        <v>Critical Analysis: Callam_Market Intel Report Decodes Mining Dynamics!</v>
      </c>
      <c r="M132" t="str">
        <f t="shared" si="5"/>
        <v>Callam_2ND Follow-up on Mining Market Research Insights</v>
      </c>
    </row>
    <row r="133" spans="1:13" x14ac:dyDescent="0.25">
      <c r="A133" t="s">
        <v>898</v>
      </c>
      <c r="B133" t="s">
        <v>899</v>
      </c>
      <c r="C133" t="s">
        <v>10</v>
      </c>
      <c r="D133" t="s">
        <v>900</v>
      </c>
      <c r="E133" t="s">
        <v>901</v>
      </c>
      <c r="F133" t="s">
        <v>739</v>
      </c>
      <c r="G133" t="s">
        <v>902</v>
      </c>
      <c r="H133" t="s">
        <v>903</v>
      </c>
      <c r="I133" t="s">
        <v>1</v>
      </c>
      <c r="J133" t="s">
        <v>904</v>
      </c>
      <c r="K133" t="s">
        <v>2</v>
      </c>
      <c r="L133" t="str">
        <f t="shared" si="4"/>
        <v>Critical Analysis: Greg_Market Intel Report Decodes Mining Dynamics!</v>
      </c>
      <c r="M133" t="str">
        <f t="shared" si="5"/>
        <v>Greg_2ND Follow-up on Mining Market Research Insights</v>
      </c>
    </row>
    <row r="134" spans="1:13" x14ac:dyDescent="0.25">
      <c r="A134" t="s">
        <v>905</v>
      </c>
      <c r="B134" t="s">
        <v>906</v>
      </c>
      <c r="C134" t="s">
        <v>907</v>
      </c>
      <c r="D134" t="s">
        <v>224</v>
      </c>
      <c r="E134" t="s">
        <v>0</v>
      </c>
      <c r="F134" t="s">
        <v>226</v>
      </c>
      <c r="G134" t="s">
        <v>227</v>
      </c>
      <c r="H134" t="s">
        <v>196</v>
      </c>
      <c r="I134" t="s">
        <v>228</v>
      </c>
      <c r="J134" t="s">
        <v>908</v>
      </c>
      <c r="K134" t="s">
        <v>2</v>
      </c>
      <c r="L134" t="str">
        <f t="shared" si="4"/>
        <v>Critical Analysis: Andrew_Market Intel Report Decodes Mining Dynamics!</v>
      </c>
      <c r="M134" t="str">
        <f t="shared" si="5"/>
        <v>Andrew_2ND Follow-up on Mining Market Research Insights</v>
      </c>
    </row>
    <row r="135" spans="1:13" x14ac:dyDescent="0.25">
      <c r="A135" t="s">
        <v>909</v>
      </c>
      <c r="B135" t="s">
        <v>910</v>
      </c>
      <c r="C135" t="s">
        <v>911</v>
      </c>
      <c r="D135" t="s">
        <v>912</v>
      </c>
      <c r="E135" t="s">
        <v>913</v>
      </c>
      <c r="F135" t="s">
        <v>914</v>
      </c>
      <c r="G135" t="s">
        <v>915</v>
      </c>
      <c r="H135" t="s">
        <v>196</v>
      </c>
      <c r="I135" t="s">
        <v>916</v>
      </c>
      <c r="J135" t="s">
        <v>917</v>
      </c>
      <c r="K135" t="s">
        <v>2</v>
      </c>
      <c r="L135" t="str">
        <f t="shared" si="4"/>
        <v>Critical Analysis: Corinne_Market Intel Report Decodes Mining Dynamics!</v>
      </c>
      <c r="M135" t="str">
        <f t="shared" si="5"/>
        <v>Corinne_2ND Follow-up on Mining Market Research Insights</v>
      </c>
    </row>
    <row r="136" spans="1:13" x14ac:dyDescent="0.25">
      <c r="A136" t="s">
        <v>918</v>
      </c>
      <c r="B136" t="s">
        <v>919</v>
      </c>
      <c r="C136" t="s">
        <v>632</v>
      </c>
      <c r="D136" t="s">
        <v>920</v>
      </c>
      <c r="E136" t="s">
        <v>921</v>
      </c>
      <c r="F136" t="s">
        <v>922</v>
      </c>
      <c r="G136" t="s">
        <v>923</v>
      </c>
      <c r="H136" t="s">
        <v>196</v>
      </c>
      <c r="I136" t="s">
        <v>924</v>
      </c>
      <c r="J136" t="s">
        <v>925</v>
      </c>
      <c r="K136" t="s">
        <v>2</v>
      </c>
      <c r="L136" t="str">
        <f t="shared" si="4"/>
        <v>Critical Analysis: Kim_Market Intel Report Decodes Mining Dynamics!</v>
      </c>
      <c r="M136" t="str">
        <f t="shared" si="5"/>
        <v>Kim_2ND Follow-up on Mining Market Research Insights</v>
      </c>
    </row>
    <row r="137" spans="1:13" x14ac:dyDescent="0.25">
      <c r="A137" t="s">
        <v>926</v>
      </c>
      <c r="B137" t="s">
        <v>927</v>
      </c>
      <c r="C137" t="s">
        <v>113</v>
      </c>
      <c r="D137" t="s">
        <v>928</v>
      </c>
      <c r="E137" t="s">
        <v>15</v>
      </c>
      <c r="F137" t="s">
        <v>309</v>
      </c>
      <c r="G137" t="s">
        <v>929</v>
      </c>
      <c r="H137" t="s">
        <v>196</v>
      </c>
      <c r="I137" t="s">
        <v>930</v>
      </c>
      <c r="J137" t="s">
        <v>931</v>
      </c>
      <c r="K137" t="s">
        <v>2</v>
      </c>
      <c r="L137" t="str">
        <f t="shared" si="4"/>
        <v>Critical Analysis: Hayden_Market Intel Report Decodes Mining Dynamics!</v>
      </c>
      <c r="M137" t="str">
        <f t="shared" si="5"/>
        <v>Hayden_2ND Follow-up on Mining Market Research Insights</v>
      </c>
    </row>
    <row r="138" spans="1:13" x14ac:dyDescent="0.25">
      <c r="A138" t="s">
        <v>932</v>
      </c>
      <c r="B138" t="s">
        <v>933</v>
      </c>
      <c r="C138" t="s">
        <v>934</v>
      </c>
      <c r="D138" t="s">
        <v>935</v>
      </c>
      <c r="E138" t="s">
        <v>840</v>
      </c>
      <c r="F138" t="s">
        <v>217</v>
      </c>
      <c r="G138" t="s">
        <v>16</v>
      </c>
      <c r="H138" t="s">
        <v>196</v>
      </c>
      <c r="I138" t="s">
        <v>936</v>
      </c>
      <c r="J138" t="s">
        <v>937</v>
      </c>
      <c r="K138" t="s">
        <v>2</v>
      </c>
      <c r="L138" t="str">
        <f t="shared" si="4"/>
        <v>Critical Analysis: Eugene_Market Intel Report Decodes Mining Dynamics!</v>
      </c>
      <c r="M138" t="str">
        <f t="shared" si="5"/>
        <v>Eugene_2ND Follow-up on Mining Market Research Insights</v>
      </c>
    </row>
    <row r="139" spans="1:13" x14ac:dyDescent="0.25">
      <c r="A139" t="s">
        <v>938</v>
      </c>
      <c r="B139" t="s">
        <v>939</v>
      </c>
      <c r="C139" t="s">
        <v>940</v>
      </c>
      <c r="D139" t="s">
        <v>941</v>
      </c>
      <c r="E139" t="s">
        <v>840</v>
      </c>
      <c r="F139" t="s">
        <v>211</v>
      </c>
      <c r="G139" t="s">
        <v>942</v>
      </c>
      <c r="H139" t="s">
        <v>196</v>
      </c>
      <c r="I139" t="s">
        <v>1</v>
      </c>
      <c r="J139" t="s">
        <v>943</v>
      </c>
      <c r="K139" t="s">
        <v>2</v>
      </c>
      <c r="L139" t="str">
        <f t="shared" si="4"/>
        <v>Critical Analysis: Gary_Market Intel Report Decodes Mining Dynamics!</v>
      </c>
      <c r="M139" t="str">
        <f t="shared" si="5"/>
        <v>Gary_2ND Follow-up on Mining Market Research Insights</v>
      </c>
    </row>
    <row r="140" spans="1:13" x14ac:dyDescent="0.25">
      <c r="A140" t="s">
        <v>944</v>
      </c>
      <c r="B140" t="s">
        <v>945</v>
      </c>
      <c r="C140" t="s">
        <v>113</v>
      </c>
      <c r="D140" t="s">
        <v>946</v>
      </c>
      <c r="E140" t="s">
        <v>947</v>
      </c>
      <c r="F140" t="s">
        <v>325</v>
      </c>
      <c r="G140" t="s">
        <v>948</v>
      </c>
      <c r="H140" t="s">
        <v>196</v>
      </c>
      <c r="I140" t="s">
        <v>949</v>
      </c>
      <c r="J140" t="s">
        <v>950</v>
      </c>
      <c r="K140" t="s">
        <v>2</v>
      </c>
      <c r="L140" t="str">
        <f t="shared" si="4"/>
        <v>Critical Analysis: Dwight_Market Intel Report Decodes Mining Dynamics!</v>
      </c>
      <c r="M140" t="str">
        <f t="shared" si="5"/>
        <v>Dwight_2ND Follow-up on Mining Market Research Insights</v>
      </c>
    </row>
    <row r="141" spans="1:13" x14ac:dyDescent="0.25">
      <c r="A141" t="s">
        <v>276</v>
      </c>
      <c r="B141" t="s">
        <v>951</v>
      </c>
      <c r="C141" t="s">
        <v>952</v>
      </c>
      <c r="D141" t="s">
        <v>953</v>
      </c>
      <c r="E141" t="s">
        <v>954</v>
      </c>
      <c r="F141" t="s">
        <v>447</v>
      </c>
      <c r="G141" t="s">
        <v>955</v>
      </c>
      <c r="H141" t="s">
        <v>196</v>
      </c>
      <c r="I141" t="s">
        <v>1</v>
      </c>
      <c r="J141" t="s">
        <v>956</v>
      </c>
      <c r="K141" t="s">
        <v>2</v>
      </c>
      <c r="L141" t="str">
        <f t="shared" si="4"/>
        <v>Critical Analysis: Daniel_Market Intel Report Decodes Mining Dynamics!</v>
      </c>
      <c r="M141" t="str">
        <f t="shared" si="5"/>
        <v>Daniel_2ND Follow-up on Mining Market Research Insights</v>
      </c>
    </row>
    <row r="142" spans="1:13" x14ac:dyDescent="0.25">
      <c r="A142" t="s">
        <v>957</v>
      </c>
      <c r="B142" t="s">
        <v>958</v>
      </c>
      <c r="C142" t="s">
        <v>959</v>
      </c>
      <c r="D142" t="s">
        <v>960</v>
      </c>
      <c r="E142" t="s">
        <v>961</v>
      </c>
      <c r="F142" t="s">
        <v>395</v>
      </c>
      <c r="G142" t="s">
        <v>16</v>
      </c>
      <c r="H142" t="s">
        <v>196</v>
      </c>
      <c r="I142" t="s">
        <v>1</v>
      </c>
      <c r="J142" t="s">
        <v>962</v>
      </c>
      <c r="K142" t="s">
        <v>2</v>
      </c>
      <c r="L142" t="str">
        <f t="shared" si="4"/>
        <v>Critical Analysis: Ruby_Market Intel Report Decodes Mining Dynamics!</v>
      </c>
      <c r="M142" t="str">
        <f t="shared" si="5"/>
        <v>Ruby_2ND Follow-up on Mining Market Research Insights</v>
      </c>
    </row>
    <row r="143" spans="1:13" x14ac:dyDescent="0.25">
      <c r="A143" t="s">
        <v>486</v>
      </c>
      <c r="B143" t="s">
        <v>963</v>
      </c>
      <c r="C143" t="s">
        <v>964</v>
      </c>
      <c r="D143" t="s">
        <v>965</v>
      </c>
      <c r="E143" t="s">
        <v>966</v>
      </c>
      <c r="F143" t="s">
        <v>725</v>
      </c>
      <c r="G143" t="s">
        <v>967</v>
      </c>
      <c r="H143" t="s">
        <v>196</v>
      </c>
      <c r="I143" t="s">
        <v>1</v>
      </c>
      <c r="J143" t="s">
        <v>968</v>
      </c>
      <c r="K143" t="s">
        <v>2</v>
      </c>
      <c r="L143" t="str">
        <f t="shared" si="4"/>
        <v>Critical Analysis: Brian_Market Intel Report Decodes Mining Dynamics!</v>
      </c>
      <c r="M143" t="str">
        <f t="shared" si="5"/>
        <v>Brian_2ND Follow-up on Mining Market Research Insights</v>
      </c>
    </row>
    <row r="144" spans="1:13" x14ac:dyDescent="0.25">
      <c r="A144" t="s">
        <v>111</v>
      </c>
      <c r="B144" t="s">
        <v>969</v>
      </c>
      <c r="C144" t="s">
        <v>970</v>
      </c>
      <c r="D144" t="s">
        <v>971</v>
      </c>
      <c r="E144" t="s">
        <v>15</v>
      </c>
      <c r="F144" t="s">
        <v>972</v>
      </c>
      <c r="G144" t="s">
        <v>16</v>
      </c>
      <c r="H144" t="s">
        <v>196</v>
      </c>
      <c r="I144" t="s">
        <v>1</v>
      </c>
      <c r="J144" t="s">
        <v>973</v>
      </c>
      <c r="K144" t="s">
        <v>2</v>
      </c>
      <c r="L144" t="str">
        <f t="shared" si="4"/>
        <v>Critical Analysis: Chris_Market Intel Report Decodes Mining Dynamics!</v>
      </c>
      <c r="M144" t="str">
        <f t="shared" si="5"/>
        <v>Chris_2ND Follow-up on Mining Market Research Insights</v>
      </c>
    </row>
    <row r="145" spans="1:13" x14ac:dyDescent="0.25">
      <c r="A145" t="s">
        <v>974</v>
      </c>
      <c r="B145" t="s">
        <v>975</v>
      </c>
      <c r="C145" t="s">
        <v>976</v>
      </c>
      <c r="D145" t="s">
        <v>977</v>
      </c>
      <c r="E145" t="s">
        <v>978</v>
      </c>
      <c r="F145" t="s">
        <v>418</v>
      </c>
      <c r="G145" t="s">
        <v>979</v>
      </c>
      <c r="H145" t="s">
        <v>196</v>
      </c>
      <c r="I145" t="s">
        <v>980</v>
      </c>
      <c r="J145" t="s">
        <v>981</v>
      </c>
      <c r="K145" t="s">
        <v>2</v>
      </c>
      <c r="L145" t="str">
        <f t="shared" si="4"/>
        <v>Critical Analysis: Piotr_Market Intel Report Decodes Mining Dynamics!</v>
      </c>
      <c r="M145" t="str">
        <f t="shared" si="5"/>
        <v>Piotr_2ND Follow-up on Mining Market Research Insights</v>
      </c>
    </row>
    <row r="146" spans="1:13" x14ac:dyDescent="0.25">
      <c r="A146" t="s">
        <v>982</v>
      </c>
      <c r="B146" t="s">
        <v>983</v>
      </c>
      <c r="C146" t="s">
        <v>984</v>
      </c>
      <c r="D146" t="s">
        <v>985</v>
      </c>
      <c r="E146" t="s">
        <v>68</v>
      </c>
      <c r="F146" t="s">
        <v>986</v>
      </c>
      <c r="G146" t="s">
        <v>987</v>
      </c>
      <c r="H146" t="s">
        <v>196</v>
      </c>
      <c r="I146" t="s">
        <v>988</v>
      </c>
      <c r="J146" t="s">
        <v>989</v>
      </c>
      <c r="K146" t="s">
        <v>2</v>
      </c>
      <c r="L146" t="str">
        <f t="shared" si="4"/>
        <v>Critical Analysis: Karim_Market Intel Report Decodes Mining Dynamics!</v>
      </c>
      <c r="M146" t="str">
        <f t="shared" si="5"/>
        <v>Karim_2ND Follow-up on Mining Market Research Insights</v>
      </c>
    </row>
    <row r="147" spans="1:13" x14ac:dyDescent="0.25">
      <c r="A147" t="s">
        <v>990</v>
      </c>
      <c r="B147" t="s">
        <v>991</v>
      </c>
      <c r="C147" t="s">
        <v>992</v>
      </c>
      <c r="D147" t="s">
        <v>993</v>
      </c>
      <c r="E147" t="s">
        <v>994</v>
      </c>
      <c r="F147" t="s">
        <v>203</v>
      </c>
      <c r="G147" t="s">
        <v>995</v>
      </c>
      <c r="H147" t="s">
        <v>196</v>
      </c>
      <c r="I147" t="s">
        <v>996</v>
      </c>
      <c r="J147" t="s">
        <v>997</v>
      </c>
      <c r="K147" t="s">
        <v>2</v>
      </c>
      <c r="L147" t="str">
        <f t="shared" si="4"/>
        <v>Critical Analysis: Davide_Market Intel Report Decodes Mining Dynamics!</v>
      </c>
      <c r="M147" t="str">
        <f t="shared" si="5"/>
        <v>Davide_2ND Follow-up on Mining Market Research Insights</v>
      </c>
    </row>
    <row r="148" spans="1:13" x14ac:dyDescent="0.25">
      <c r="A148" t="s">
        <v>998</v>
      </c>
      <c r="B148" t="s">
        <v>999</v>
      </c>
      <c r="C148" t="s">
        <v>1000</v>
      </c>
      <c r="D148" t="s">
        <v>287</v>
      </c>
      <c r="E148" t="s">
        <v>1001</v>
      </c>
      <c r="F148" t="s">
        <v>289</v>
      </c>
      <c r="G148" t="s">
        <v>290</v>
      </c>
      <c r="H148" t="s">
        <v>196</v>
      </c>
      <c r="I148" t="s">
        <v>291</v>
      </c>
      <c r="J148" t="s">
        <v>1002</v>
      </c>
      <c r="K148" t="s">
        <v>2</v>
      </c>
      <c r="L148" t="str">
        <f t="shared" si="4"/>
        <v>Critical Analysis: Hakan_Market Intel Report Decodes Mining Dynamics!</v>
      </c>
      <c r="M148" t="str">
        <f t="shared" si="5"/>
        <v>Hakan_2ND Follow-up on Mining Market Research Insights</v>
      </c>
    </row>
    <row r="149" spans="1:13" x14ac:dyDescent="0.25">
      <c r="A149" t="s">
        <v>1003</v>
      </c>
      <c r="B149" t="s">
        <v>1004</v>
      </c>
      <c r="C149" t="s">
        <v>1005</v>
      </c>
      <c r="D149" t="s">
        <v>1006</v>
      </c>
      <c r="E149" t="s">
        <v>115</v>
      </c>
      <c r="F149" t="s">
        <v>447</v>
      </c>
      <c r="G149" t="s">
        <v>16</v>
      </c>
      <c r="H149" t="s">
        <v>196</v>
      </c>
      <c r="I149" t="s">
        <v>1007</v>
      </c>
      <c r="J149" t="s">
        <v>1008</v>
      </c>
      <c r="K149" t="s">
        <v>2</v>
      </c>
      <c r="L149" t="str">
        <f t="shared" si="4"/>
        <v>Critical Analysis: Wayne_Market Intel Report Decodes Mining Dynamics!</v>
      </c>
      <c r="M149" t="str">
        <f t="shared" si="5"/>
        <v>Wayne_2ND Follow-up on Mining Market Research Insights</v>
      </c>
    </row>
    <row r="150" spans="1:13" x14ac:dyDescent="0.25">
      <c r="A150" t="s">
        <v>1009</v>
      </c>
      <c r="B150" t="s">
        <v>1010</v>
      </c>
      <c r="C150" t="s">
        <v>10</v>
      </c>
      <c r="D150" t="s">
        <v>1011</v>
      </c>
      <c r="E150" t="s">
        <v>15</v>
      </c>
      <c r="F150" t="s">
        <v>1012</v>
      </c>
      <c r="G150" t="s">
        <v>1013</v>
      </c>
      <c r="H150" t="s">
        <v>196</v>
      </c>
      <c r="I150" t="s">
        <v>1014</v>
      </c>
      <c r="J150" t="s">
        <v>1015</v>
      </c>
      <c r="K150" t="s">
        <v>2</v>
      </c>
      <c r="L150" t="str">
        <f t="shared" si="4"/>
        <v>Critical Analysis: Jeff_Market Intel Report Decodes Mining Dynamics!</v>
      </c>
      <c r="M150" t="str">
        <f t="shared" si="5"/>
        <v>Jeff_2ND Follow-up on Mining Market Research Insights</v>
      </c>
    </row>
    <row r="151" spans="1:13" x14ac:dyDescent="0.25">
      <c r="A151" t="s">
        <v>1016</v>
      </c>
      <c r="B151" t="s">
        <v>1017</v>
      </c>
      <c r="C151" t="s">
        <v>1018</v>
      </c>
      <c r="D151" t="s">
        <v>1019</v>
      </c>
      <c r="E151" t="s">
        <v>253</v>
      </c>
      <c r="F151" t="s">
        <v>237</v>
      </c>
      <c r="G151" t="s">
        <v>1020</v>
      </c>
      <c r="H151" t="s">
        <v>196</v>
      </c>
      <c r="I151" t="s">
        <v>1021</v>
      </c>
      <c r="J151" t="s">
        <v>1022</v>
      </c>
      <c r="K151" t="s">
        <v>2</v>
      </c>
      <c r="L151" t="str">
        <f t="shared" si="4"/>
        <v>Critical Analysis: Marilyn_Market Intel Report Decodes Mining Dynamics!</v>
      </c>
      <c r="M151" t="str">
        <f t="shared" si="5"/>
        <v>Marilyn_2ND Follow-up on Mining Market Research Insights</v>
      </c>
    </row>
    <row r="152" spans="1:13" x14ac:dyDescent="0.25">
      <c r="A152" t="s">
        <v>1023</v>
      </c>
      <c r="B152" t="s">
        <v>1024</v>
      </c>
      <c r="C152" t="s">
        <v>1025</v>
      </c>
      <c r="D152" t="s">
        <v>1026</v>
      </c>
      <c r="E152" t="s">
        <v>1027</v>
      </c>
      <c r="F152" t="s">
        <v>418</v>
      </c>
      <c r="G152" t="s">
        <v>1028</v>
      </c>
      <c r="H152" t="s">
        <v>196</v>
      </c>
      <c r="I152" t="s">
        <v>1029</v>
      </c>
      <c r="J152" t="s">
        <v>1030</v>
      </c>
      <c r="K152" t="s">
        <v>2</v>
      </c>
      <c r="L152" t="str">
        <f t="shared" si="4"/>
        <v>Critical Analysis: Rutger_Market Intel Report Decodes Mining Dynamics!</v>
      </c>
      <c r="M152" t="str">
        <f t="shared" si="5"/>
        <v>Rutger_2ND Follow-up on Mining Market Research Insights</v>
      </c>
    </row>
    <row r="153" spans="1:13" x14ac:dyDescent="0.25">
      <c r="A153" t="s">
        <v>1031</v>
      </c>
      <c r="B153" t="s">
        <v>1032</v>
      </c>
      <c r="C153" t="s">
        <v>1033</v>
      </c>
      <c r="D153" t="s">
        <v>1034</v>
      </c>
      <c r="E153" t="s">
        <v>1035</v>
      </c>
      <c r="F153" t="s">
        <v>217</v>
      </c>
      <c r="G153" t="s">
        <v>1036</v>
      </c>
      <c r="H153" t="s">
        <v>196</v>
      </c>
      <c r="I153" t="s">
        <v>1037</v>
      </c>
      <c r="J153" t="s">
        <v>1038</v>
      </c>
      <c r="K153" t="s">
        <v>2</v>
      </c>
      <c r="L153" t="str">
        <f t="shared" si="4"/>
        <v>Critical Analysis: Ana_Market Intel Report Decodes Mining Dynamics!</v>
      </c>
      <c r="M153" t="str">
        <f t="shared" si="5"/>
        <v>Ana_2ND Follow-up on Mining Market Research Insights</v>
      </c>
    </row>
    <row r="154" spans="1:13" x14ac:dyDescent="0.25">
      <c r="A154" t="s">
        <v>1039</v>
      </c>
      <c r="B154" t="s">
        <v>1040</v>
      </c>
      <c r="C154" t="s">
        <v>632</v>
      </c>
      <c r="D154" t="s">
        <v>1041</v>
      </c>
      <c r="E154" t="s">
        <v>160</v>
      </c>
      <c r="F154" t="s">
        <v>309</v>
      </c>
      <c r="G154" t="s">
        <v>1042</v>
      </c>
      <c r="H154" t="s">
        <v>196</v>
      </c>
      <c r="I154" t="s">
        <v>1043</v>
      </c>
      <c r="J154" t="s">
        <v>1044</v>
      </c>
      <c r="K154" t="s">
        <v>2</v>
      </c>
      <c r="L154" t="str">
        <f t="shared" si="4"/>
        <v>Critical Analysis: Hassan_Market Intel Report Decodes Mining Dynamics!</v>
      </c>
      <c r="M154" t="str">
        <f t="shared" si="5"/>
        <v>Hassan_2ND Follow-up on Mining Market Research Insights</v>
      </c>
    </row>
    <row r="155" spans="1:13" x14ac:dyDescent="0.25">
      <c r="A155" t="s">
        <v>139</v>
      </c>
      <c r="B155" t="s">
        <v>1045</v>
      </c>
      <c r="C155" t="s">
        <v>632</v>
      </c>
      <c r="D155" t="s">
        <v>1046</v>
      </c>
      <c r="E155" t="s">
        <v>1047</v>
      </c>
      <c r="F155" t="s">
        <v>617</v>
      </c>
      <c r="G155" t="s">
        <v>1048</v>
      </c>
      <c r="H155" t="s">
        <v>196</v>
      </c>
      <c r="I155" t="s">
        <v>1049</v>
      </c>
      <c r="J155" t="s">
        <v>1050</v>
      </c>
      <c r="K155" t="s">
        <v>2</v>
      </c>
      <c r="L155" t="str">
        <f t="shared" si="4"/>
        <v>Critical Analysis: Martin_Market Intel Report Decodes Mining Dynamics!</v>
      </c>
      <c r="M155" t="str">
        <f t="shared" si="5"/>
        <v>Martin_2ND Follow-up on Mining Market Research Insights</v>
      </c>
    </row>
    <row r="156" spans="1:13" x14ac:dyDescent="0.25">
      <c r="A156" t="s">
        <v>1051</v>
      </c>
      <c r="B156" t="s">
        <v>1052</v>
      </c>
      <c r="C156" t="s">
        <v>1053</v>
      </c>
      <c r="D156" t="s">
        <v>1054</v>
      </c>
      <c r="E156" t="s">
        <v>1055</v>
      </c>
      <c r="F156" t="s">
        <v>1056</v>
      </c>
      <c r="G156" t="s">
        <v>1057</v>
      </c>
      <c r="H156" t="s">
        <v>196</v>
      </c>
      <c r="I156" t="s">
        <v>1058</v>
      </c>
      <c r="J156" t="s">
        <v>1059</v>
      </c>
      <c r="K156" t="s">
        <v>2</v>
      </c>
      <c r="L156" t="str">
        <f t="shared" si="4"/>
        <v>Critical Analysis: Andrea_Market Intel Report Decodes Mining Dynamics!</v>
      </c>
      <c r="M156" t="str">
        <f t="shared" si="5"/>
        <v>Andrea_2ND Follow-up on Mining Market Research Insights</v>
      </c>
    </row>
    <row r="157" spans="1:13" x14ac:dyDescent="0.25">
      <c r="A157" t="s">
        <v>1060</v>
      </c>
      <c r="B157" t="s">
        <v>1061</v>
      </c>
      <c r="C157" t="s">
        <v>53</v>
      </c>
      <c r="D157" t="s">
        <v>1062</v>
      </c>
      <c r="E157" t="s">
        <v>333</v>
      </c>
      <c r="F157" t="s">
        <v>296</v>
      </c>
      <c r="G157" t="s">
        <v>1063</v>
      </c>
      <c r="H157" t="s">
        <v>196</v>
      </c>
      <c r="I157" t="s">
        <v>1064</v>
      </c>
      <c r="J157" t="s">
        <v>1065</v>
      </c>
      <c r="K157" t="s">
        <v>2</v>
      </c>
      <c r="L157" t="str">
        <f t="shared" si="4"/>
        <v>Critical Analysis: Marc_Market Intel Report Decodes Mining Dynamics!</v>
      </c>
      <c r="M157" t="str">
        <f t="shared" si="5"/>
        <v>Marc_2ND Follow-up on Mining Market Research Insights</v>
      </c>
    </row>
    <row r="158" spans="1:13" x14ac:dyDescent="0.25">
      <c r="A158" t="s">
        <v>1066</v>
      </c>
      <c r="B158" t="s">
        <v>1067</v>
      </c>
      <c r="C158" t="s">
        <v>53</v>
      </c>
      <c r="D158" t="s">
        <v>1068</v>
      </c>
      <c r="E158" t="s">
        <v>1069</v>
      </c>
      <c r="F158" t="s">
        <v>280</v>
      </c>
      <c r="G158" t="s">
        <v>1070</v>
      </c>
      <c r="H158" t="s">
        <v>196</v>
      </c>
      <c r="I158" t="s">
        <v>1071</v>
      </c>
      <c r="J158" t="s">
        <v>1072</v>
      </c>
      <c r="K158" t="s">
        <v>2</v>
      </c>
      <c r="L158" t="str">
        <f t="shared" si="4"/>
        <v>Critical Analysis: Jorge_Market Intel Report Decodes Mining Dynamics!</v>
      </c>
      <c r="M158" t="str">
        <f t="shared" si="5"/>
        <v>Jorge_2ND Follow-up on Mining Market Research Insights</v>
      </c>
    </row>
    <row r="159" spans="1:13" x14ac:dyDescent="0.25">
      <c r="A159" t="s">
        <v>905</v>
      </c>
      <c r="B159" t="s">
        <v>787</v>
      </c>
      <c r="C159" t="s">
        <v>10</v>
      </c>
      <c r="D159" t="s">
        <v>1073</v>
      </c>
      <c r="E159" t="s">
        <v>352</v>
      </c>
      <c r="F159" t="s">
        <v>972</v>
      </c>
      <c r="G159" t="s">
        <v>1074</v>
      </c>
      <c r="H159" t="s">
        <v>196</v>
      </c>
      <c r="I159" t="s">
        <v>1075</v>
      </c>
      <c r="J159" t="s">
        <v>1076</v>
      </c>
      <c r="K159" t="s">
        <v>2</v>
      </c>
      <c r="L159" t="str">
        <f t="shared" si="4"/>
        <v>Critical Analysis: Andrew_Market Intel Report Decodes Mining Dynamics!</v>
      </c>
      <c r="M159" t="str">
        <f t="shared" si="5"/>
        <v>Andrew_2ND Follow-up on Mining Market Research Insights</v>
      </c>
    </row>
    <row r="160" spans="1:13" x14ac:dyDescent="0.25">
      <c r="A160" t="s">
        <v>1077</v>
      </c>
      <c r="B160" t="s">
        <v>32</v>
      </c>
      <c r="C160" t="s">
        <v>597</v>
      </c>
      <c r="D160" t="s">
        <v>1078</v>
      </c>
      <c r="E160" t="s">
        <v>1079</v>
      </c>
      <c r="F160" t="s">
        <v>1080</v>
      </c>
      <c r="G160" t="s">
        <v>1081</v>
      </c>
      <c r="H160" t="s">
        <v>196</v>
      </c>
      <c r="I160" t="s">
        <v>1082</v>
      </c>
      <c r="J160" t="s">
        <v>1083</v>
      </c>
      <c r="K160" t="s">
        <v>2</v>
      </c>
      <c r="L160" t="str">
        <f t="shared" si="4"/>
        <v>Critical Analysis: Karen_Market Intel Report Decodes Mining Dynamics!</v>
      </c>
      <c r="M160" t="str">
        <f t="shared" si="5"/>
        <v>Karen_2ND Follow-up on Mining Market Research Insights</v>
      </c>
    </row>
    <row r="161" spans="1:13" x14ac:dyDescent="0.25">
      <c r="A161" t="s">
        <v>1084</v>
      </c>
      <c r="B161" t="s">
        <v>1085</v>
      </c>
      <c r="C161" t="s">
        <v>1086</v>
      </c>
      <c r="D161" t="s">
        <v>224</v>
      </c>
      <c r="E161" t="s">
        <v>225</v>
      </c>
      <c r="F161" t="s">
        <v>226</v>
      </c>
      <c r="G161" t="s">
        <v>227</v>
      </c>
      <c r="H161" t="s">
        <v>196</v>
      </c>
      <c r="I161" t="s">
        <v>228</v>
      </c>
      <c r="J161" t="s">
        <v>1087</v>
      </c>
      <c r="K161" t="s">
        <v>2</v>
      </c>
      <c r="L161" t="str">
        <f t="shared" si="4"/>
        <v>Critical Analysis: Stefan_Market Intel Report Decodes Mining Dynamics!</v>
      </c>
      <c r="M161" t="str">
        <f t="shared" si="5"/>
        <v>Stefan_2ND Follow-up on Mining Market Research Insights</v>
      </c>
    </row>
    <row r="162" spans="1:13" x14ac:dyDescent="0.25">
      <c r="A162" t="s">
        <v>449</v>
      </c>
      <c r="B162" t="s">
        <v>1088</v>
      </c>
      <c r="C162" t="s">
        <v>33</v>
      </c>
      <c r="D162" t="s">
        <v>1089</v>
      </c>
      <c r="E162" t="s">
        <v>1090</v>
      </c>
      <c r="F162" t="s">
        <v>1091</v>
      </c>
      <c r="G162" t="s">
        <v>1092</v>
      </c>
      <c r="H162" t="s">
        <v>196</v>
      </c>
      <c r="I162" t="s">
        <v>1093</v>
      </c>
      <c r="J162" t="s">
        <v>1094</v>
      </c>
      <c r="K162" t="s">
        <v>2</v>
      </c>
      <c r="L162" t="str">
        <f t="shared" si="4"/>
        <v>Critical Analysis: Thomas_Market Intel Report Decodes Mining Dynamics!</v>
      </c>
      <c r="M162" t="str">
        <f t="shared" si="5"/>
        <v>Thomas_2ND Follow-up on Mining Market Research Insights</v>
      </c>
    </row>
    <row r="163" spans="1:13" x14ac:dyDescent="0.25">
      <c r="A163" t="s">
        <v>1095</v>
      </c>
      <c r="B163" t="s">
        <v>1096</v>
      </c>
      <c r="C163" t="s">
        <v>1097</v>
      </c>
      <c r="D163" t="s">
        <v>1098</v>
      </c>
      <c r="E163" t="s">
        <v>1099</v>
      </c>
      <c r="F163" t="s">
        <v>262</v>
      </c>
      <c r="G163" t="s">
        <v>1100</v>
      </c>
      <c r="H163" t="s">
        <v>196</v>
      </c>
      <c r="I163" t="s">
        <v>1</v>
      </c>
      <c r="J163" t="s">
        <v>1101</v>
      </c>
      <c r="K163" t="s">
        <v>2</v>
      </c>
      <c r="L163" t="str">
        <f t="shared" si="4"/>
        <v>Critical Analysis: Alessandro_Market Intel Report Decodes Mining Dynamics!</v>
      </c>
      <c r="M163" t="str">
        <f t="shared" si="5"/>
        <v>Alessandro_2ND Follow-up on Mining Market Research Insights</v>
      </c>
    </row>
    <row r="164" spans="1:13" x14ac:dyDescent="0.25">
      <c r="A164" t="s">
        <v>1102</v>
      </c>
      <c r="B164" t="s">
        <v>1103</v>
      </c>
      <c r="C164" t="s">
        <v>1104</v>
      </c>
      <c r="D164" t="s">
        <v>1105</v>
      </c>
      <c r="E164" t="s">
        <v>1106</v>
      </c>
      <c r="F164" t="s">
        <v>217</v>
      </c>
      <c r="G164" t="s">
        <v>16</v>
      </c>
      <c r="H164" t="s">
        <v>196</v>
      </c>
      <c r="I164" t="s">
        <v>1</v>
      </c>
      <c r="J164" t="s">
        <v>1107</v>
      </c>
      <c r="K164" t="s">
        <v>2</v>
      </c>
      <c r="L164" t="str">
        <f t="shared" si="4"/>
        <v>Critical Analysis: Bastian_Market Intel Report Decodes Mining Dynamics!</v>
      </c>
      <c r="M164" t="str">
        <f t="shared" si="5"/>
        <v>Bastian_2ND Follow-up on Mining Market Research Insights</v>
      </c>
    </row>
    <row r="165" spans="1:13" x14ac:dyDescent="0.25">
      <c r="A165" t="s">
        <v>1108</v>
      </c>
      <c r="B165" t="s">
        <v>1109</v>
      </c>
      <c r="C165" t="s">
        <v>1110</v>
      </c>
      <c r="D165" t="s">
        <v>1111</v>
      </c>
      <c r="E165" t="s">
        <v>1099</v>
      </c>
      <c r="F165" t="s">
        <v>262</v>
      </c>
      <c r="G165" t="s">
        <v>1112</v>
      </c>
      <c r="H165" t="s">
        <v>196</v>
      </c>
      <c r="I165" t="s">
        <v>1113</v>
      </c>
      <c r="J165" t="s">
        <v>1114</v>
      </c>
      <c r="K165" t="s">
        <v>2</v>
      </c>
      <c r="L165" t="str">
        <f t="shared" si="4"/>
        <v>Critical Analysis: Simon_Market Intel Report Decodes Mining Dynamics!</v>
      </c>
      <c r="M165" t="str">
        <f t="shared" si="5"/>
        <v>Simon_2ND Follow-up on Mining Market Research Insights</v>
      </c>
    </row>
    <row r="166" spans="1:13" x14ac:dyDescent="0.25">
      <c r="A166" t="s">
        <v>1115</v>
      </c>
      <c r="B166" t="s">
        <v>1116</v>
      </c>
      <c r="C166" t="s">
        <v>1117</v>
      </c>
      <c r="D166" t="s">
        <v>1118</v>
      </c>
      <c r="E166" t="s">
        <v>1119</v>
      </c>
      <c r="F166" t="s">
        <v>1120</v>
      </c>
      <c r="G166" t="s">
        <v>16</v>
      </c>
      <c r="H166" t="s">
        <v>1121</v>
      </c>
      <c r="I166" t="s">
        <v>1122</v>
      </c>
      <c r="J166" t="s">
        <v>1123</v>
      </c>
      <c r="K166" t="s">
        <v>2</v>
      </c>
      <c r="L166" t="str">
        <f t="shared" si="4"/>
        <v>Critical Analysis: Brice_Market Intel Report Decodes Mining Dynamics!</v>
      </c>
      <c r="M166" t="str">
        <f t="shared" si="5"/>
        <v>Brice_2ND Follow-up on Mining Market Research Insights</v>
      </c>
    </row>
    <row r="167" spans="1:13" x14ac:dyDescent="0.25">
      <c r="A167" t="s">
        <v>1124</v>
      </c>
      <c r="B167" t="s">
        <v>1125</v>
      </c>
      <c r="C167" t="s">
        <v>10</v>
      </c>
      <c r="D167" t="s">
        <v>1126</v>
      </c>
      <c r="E167" t="s">
        <v>1001</v>
      </c>
      <c r="F167" t="s">
        <v>1127</v>
      </c>
      <c r="G167" t="s">
        <v>1128</v>
      </c>
      <c r="H167" t="s">
        <v>196</v>
      </c>
      <c r="I167" t="s">
        <v>1</v>
      </c>
      <c r="J167" t="s">
        <v>1129</v>
      </c>
      <c r="K167" t="s">
        <v>2</v>
      </c>
      <c r="L167" t="str">
        <f t="shared" si="4"/>
        <v>Critical Analysis: Sureyya_Market Intel Report Decodes Mining Dynamics!</v>
      </c>
      <c r="M167" t="str">
        <f t="shared" si="5"/>
        <v>Sureyya_2ND Follow-up on Mining Market Research Insights</v>
      </c>
    </row>
    <row r="168" spans="1:13" x14ac:dyDescent="0.25">
      <c r="A168" t="s">
        <v>590</v>
      </c>
      <c r="B168" t="s">
        <v>1130</v>
      </c>
      <c r="C168" t="s">
        <v>53</v>
      </c>
      <c r="D168" t="s">
        <v>1131</v>
      </c>
      <c r="E168" t="s">
        <v>1132</v>
      </c>
      <c r="F168" t="s">
        <v>739</v>
      </c>
      <c r="G168" t="s">
        <v>1133</v>
      </c>
      <c r="H168" t="s">
        <v>196</v>
      </c>
      <c r="I168" t="s">
        <v>1134</v>
      </c>
      <c r="J168" t="s">
        <v>1135</v>
      </c>
      <c r="K168" t="s">
        <v>2</v>
      </c>
      <c r="L168" t="str">
        <f t="shared" si="4"/>
        <v>Critical Analysis: Mark_Market Intel Report Decodes Mining Dynamics!</v>
      </c>
      <c r="M168" t="str">
        <f t="shared" si="5"/>
        <v>Mark_2ND Follow-up on Mining Market Research Insights</v>
      </c>
    </row>
    <row r="169" spans="1:13" x14ac:dyDescent="0.25">
      <c r="A169" t="s">
        <v>111</v>
      </c>
      <c r="B169" t="s">
        <v>1136</v>
      </c>
      <c r="C169" t="s">
        <v>113</v>
      </c>
      <c r="D169" t="s">
        <v>1137</v>
      </c>
      <c r="E169" t="s">
        <v>352</v>
      </c>
      <c r="F169" t="s">
        <v>732</v>
      </c>
      <c r="G169" t="s">
        <v>1138</v>
      </c>
      <c r="H169" t="s">
        <v>196</v>
      </c>
      <c r="I169" t="s">
        <v>1139</v>
      </c>
      <c r="J169" t="s">
        <v>1140</v>
      </c>
      <c r="K169" t="s">
        <v>2</v>
      </c>
      <c r="L169" t="str">
        <f t="shared" si="4"/>
        <v>Critical Analysis: Chris_Market Intel Report Decodes Mining Dynamics!</v>
      </c>
      <c r="M169" t="str">
        <f t="shared" si="5"/>
        <v>Chris_2ND Follow-up on Mining Market Research Insights</v>
      </c>
    </row>
    <row r="170" spans="1:13" x14ac:dyDescent="0.25">
      <c r="A170" t="s">
        <v>905</v>
      </c>
      <c r="B170" t="s">
        <v>1141</v>
      </c>
      <c r="C170" t="s">
        <v>33</v>
      </c>
      <c r="D170" t="s">
        <v>1142</v>
      </c>
      <c r="E170" t="s">
        <v>1143</v>
      </c>
      <c r="F170" t="s">
        <v>217</v>
      </c>
      <c r="G170" t="s">
        <v>1144</v>
      </c>
      <c r="H170" t="s">
        <v>196</v>
      </c>
      <c r="I170" t="s">
        <v>1145</v>
      </c>
      <c r="J170" t="s">
        <v>1146</v>
      </c>
      <c r="K170" t="s">
        <v>2</v>
      </c>
      <c r="L170" t="str">
        <f t="shared" si="4"/>
        <v>Critical Analysis: Andrew_Market Intel Report Decodes Mining Dynamics!</v>
      </c>
      <c r="M170" t="str">
        <f t="shared" si="5"/>
        <v>Andrew_2ND Follow-up on Mining Market Research Insights</v>
      </c>
    </row>
    <row r="171" spans="1:13" x14ac:dyDescent="0.25">
      <c r="A171" t="s">
        <v>905</v>
      </c>
      <c r="B171" t="s">
        <v>1147</v>
      </c>
      <c r="C171" t="s">
        <v>1148</v>
      </c>
      <c r="D171" t="s">
        <v>1149</v>
      </c>
      <c r="E171" t="s">
        <v>115</v>
      </c>
      <c r="F171" t="s">
        <v>211</v>
      </c>
      <c r="G171" t="s">
        <v>16</v>
      </c>
      <c r="H171" t="s">
        <v>196</v>
      </c>
      <c r="I171" t="s">
        <v>1150</v>
      </c>
      <c r="J171" t="s">
        <v>1151</v>
      </c>
      <c r="K171" t="s">
        <v>2</v>
      </c>
      <c r="L171" t="str">
        <f t="shared" si="4"/>
        <v>Critical Analysis: Andrew_Market Intel Report Decodes Mining Dynamics!</v>
      </c>
      <c r="M171" t="str">
        <f t="shared" si="5"/>
        <v>Andrew_2ND Follow-up on Mining Market Research Insights</v>
      </c>
    </row>
    <row r="172" spans="1:13" x14ac:dyDescent="0.25">
      <c r="A172" t="s">
        <v>1152</v>
      </c>
      <c r="B172" t="s">
        <v>1153</v>
      </c>
      <c r="C172" t="s">
        <v>597</v>
      </c>
      <c r="D172" t="s">
        <v>1154</v>
      </c>
      <c r="E172" t="s">
        <v>1155</v>
      </c>
      <c r="F172" t="s">
        <v>309</v>
      </c>
      <c r="G172" t="s">
        <v>1156</v>
      </c>
      <c r="H172" t="s">
        <v>196</v>
      </c>
      <c r="I172" t="s">
        <v>1157</v>
      </c>
      <c r="J172" t="s">
        <v>1158</v>
      </c>
      <c r="K172" t="s">
        <v>2</v>
      </c>
      <c r="L172" t="str">
        <f t="shared" si="4"/>
        <v>Critical Analysis: Spencer_Market Intel Report Decodes Mining Dynamics!</v>
      </c>
      <c r="M172" t="str">
        <f t="shared" si="5"/>
        <v>Spencer_2ND Follow-up on Mining Market Research Insights</v>
      </c>
    </row>
    <row r="173" spans="1:13" x14ac:dyDescent="0.25">
      <c r="A173" t="s">
        <v>1159</v>
      </c>
      <c r="B173" t="s">
        <v>1160</v>
      </c>
      <c r="C173" t="s">
        <v>1161</v>
      </c>
      <c r="D173" t="s">
        <v>1162</v>
      </c>
      <c r="E173" t="s">
        <v>669</v>
      </c>
      <c r="F173" t="s">
        <v>302</v>
      </c>
      <c r="G173" t="s">
        <v>16</v>
      </c>
      <c r="H173" t="s">
        <v>196</v>
      </c>
      <c r="I173" t="s">
        <v>1</v>
      </c>
      <c r="J173" t="s">
        <v>1163</v>
      </c>
      <c r="K173" t="s">
        <v>2</v>
      </c>
      <c r="L173" t="str">
        <f t="shared" si="4"/>
        <v>Critical Analysis: Christian_Market Intel Report Decodes Mining Dynamics!</v>
      </c>
      <c r="M173" t="str">
        <f t="shared" si="5"/>
        <v>Christian_2ND Follow-up on Mining Market Research Insights</v>
      </c>
    </row>
    <row r="174" spans="1:13" x14ac:dyDescent="0.25">
      <c r="A174" t="s">
        <v>1164</v>
      </c>
      <c r="B174" t="s">
        <v>1165</v>
      </c>
      <c r="C174" t="s">
        <v>113</v>
      </c>
      <c r="D174" t="s">
        <v>1166</v>
      </c>
      <c r="E174" t="s">
        <v>352</v>
      </c>
      <c r="F174" t="s">
        <v>867</v>
      </c>
      <c r="G174" t="s">
        <v>1167</v>
      </c>
      <c r="H174" t="s">
        <v>196</v>
      </c>
      <c r="I174" t="s">
        <v>1168</v>
      </c>
      <c r="J174" t="s">
        <v>1169</v>
      </c>
      <c r="K174" t="s">
        <v>2</v>
      </c>
      <c r="L174" t="str">
        <f t="shared" si="4"/>
        <v>Critical Analysis: Carmen_Market Intel Report Decodes Mining Dynamics!</v>
      </c>
      <c r="M174" t="str">
        <f t="shared" si="5"/>
        <v>Carmen_2ND Follow-up on Mining Market Research Insights</v>
      </c>
    </row>
    <row r="175" spans="1:13" x14ac:dyDescent="0.25">
      <c r="A175" t="s">
        <v>1170</v>
      </c>
      <c r="B175" t="s">
        <v>1171</v>
      </c>
      <c r="C175" t="s">
        <v>53</v>
      </c>
      <c r="D175" t="s">
        <v>1172</v>
      </c>
      <c r="E175" t="s">
        <v>1173</v>
      </c>
      <c r="F175" t="s">
        <v>195</v>
      </c>
      <c r="G175" t="s">
        <v>16</v>
      </c>
      <c r="H175" t="s">
        <v>196</v>
      </c>
      <c r="I175" t="s">
        <v>1</v>
      </c>
      <c r="J175" t="s">
        <v>1174</v>
      </c>
      <c r="K175" t="s">
        <v>2</v>
      </c>
      <c r="L175" t="str">
        <f t="shared" si="4"/>
        <v>Critical Analysis: Felix_Market Intel Report Decodes Mining Dynamics!</v>
      </c>
      <c r="M175" t="str">
        <f t="shared" si="5"/>
        <v>Felix_2ND Follow-up on Mining Market Research Insights</v>
      </c>
    </row>
    <row r="176" spans="1:13" x14ac:dyDescent="0.25">
      <c r="A176" t="s">
        <v>1175</v>
      </c>
      <c r="B176" t="s">
        <v>1176</v>
      </c>
      <c r="C176" t="s">
        <v>53</v>
      </c>
      <c r="D176" t="s">
        <v>1177</v>
      </c>
      <c r="E176" t="s">
        <v>1178</v>
      </c>
      <c r="F176" t="s">
        <v>1179</v>
      </c>
      <c r="G176" t="s">
        <v>1180</v>
      </c>
      <c r="H176" t="s">
        <v>196</v>
      </c>
      <c r="I176" t="s">
        <v>1</v>
      </c>
      <c r="J176" t="s">
        <v>1181</v>
      </c>
      <c r="K176" t="s">
        <v>2</v>
      </c>
      <c r="L176" t="str">
        <f t="shared" si="4"/>
        <v>Critical Analysis: Paul_Market Intel Report Decodes Mining Dynamics!</v>
      </c>
      <c r="M176" t="str">
        <f t="shared" si="5"/>
        <v>Paul_2ND Follow-up on Mining Market Research Insights</v>
      </c>
    </row>
    <row r="177" spans="1:13" x14ac:dyDescent="0.25">
      <c r="A177" t="s">
        <v>1182</v>
      </c>
      <c r="B177" t="s">
        <v>1183</v>
      </c>
      <c r="C177" t="s">
        <v>53</v>
      </c>
      <c r="D177" t="s">
        <v>1184</v>
      </c>
      <c r="E177" t="s">
        <v>1099</v>
      </c>
      <c r="F177" t="s">
        <v>217</v>
      </c>
      <c r="G177" t="s">
        <v>16</v>
      </c>
      <c r="H177" t="s">
        <v>196</v>
      </c>
      <c r="I177" t="s">
        <v>1</v>
      </c>
      <c r="J177" t="s">
        <v>1185</v>
      </c>
      <c r="K177" t="s">
        <v>2</v>
      </c>
      <c r="L177" t="str">
        <f t="shared" si="4"/>
        <v>Critical Analysis: Heiko_Market Intel Report Decodes Mining Dynamics!</v>
      </c>
      <c r="M177" t="str">
        <f t="shared" si="5"/>
        <v>Heiko_2ND Follow-up on Mining Market Research Insights</v>
      </c>
    </row>
    <row r="178" spans="1:13" x14ac:dyDescent="0.25">
      <c r="A178" t="s">
        <v>1186</v>
      </c>
      <c r="B178" t="s">
        <v>1187</v>
      </c>
      <c r="C178" t="s">
        <v>1188</v>
      </c>
      <c r="D178" t="s">
        <v>224</v>
      </c>
      <c r="E178" t="s">
        <v>225</v>
      </c>
      <c r="F178" t="s">
        <v>226</v>
      </c>
      <c r="G178" t="s">
        <v>227</v>
      </c>
      <c r="H178" t="s">
        <v>196</v>
      </c>
      <c r="I178" t="s">
        <v>228</v>
      </c>
      <c r="J178" t="s">
        <v>1189</v>
      </c>
      <c r="K178" t="s">
        <v>2</v>
      </c>
      <c r="L178" t="str">
        <f t="shared" si="4"/>
        <v>Critical Analysis: Christoph_Market Intel Report Decodes Mining Dynamics!</v>
      </c>
      <c r="M178" t="str">
        <f t="shared" si="5"/>
        <v>Christoph_2ND Follow-up on Mining Market Research Insights</v>
      </c>
    </row>
    <row r="179" spans="1:13" x14ac:dyDescent="0.25">
      <c r="A179" t="s">
        <v>1190</v>
      </c>
      <c r="B179" t="s">
        <v>32</v>
      </c>
      <c r="C179" t="s">
        <v>1191</v>
      </c>
      <c r="D179" t="s">
        <v>1192</v>
      </c>
      <c r="E179" t="s">
        <v>1193</v>
      </c>
      <c r="F179" t="s">
        <v>1194</v>
      </c>
      <c r="G179" t="s">
        <v>1195</v>
      </c>
      <c r="H179" t="s">
        <v>196</v>
      </c>
      <c r="I179" t="s">
        <v>1196</v>
      </c>
      <c r="J179" t="s">
        <v>1197</v>
      </c>
      <c r="K179" t="s">
        <v>2</v>
      </c>
      <c r="L179" t="str">
        <f t="shared" si="4"/>
        <v>Critical Analysis: Francisco_Market Intel Report Decodes Mining Dynamics!</v>
      </c>
      <c r="M179" t="str">
        <f t="shared" si="5"/>
        <v>Francisco_2ND Follow-up on Mining Market Research Insights</v>
      </c>
    </row>
    <row r="180" spans="1:13" x14ac:dyDescent="0.25">
      <c r="A180" t="s">
        <v>1198</v>
      </c>
      <c r="B180" t="s">
        <v>1199</v>
      </c>
      <c r="C180" t="s">
        <v>1200</v>
      </c>
      <c r="D180" t="s">
        <v>1201</v>
      </c>
      <c r="E180" t="s">
        <v>15</v>
      </c>
      <c r="F180" t="s">
        <v>1202</v>
      </c>
      <c r="G180" t="s">
        <v>1203</v>
      </c>
      <c r="H180" t="s">
        <v>196</v>
      </c>
      <c r="I180" t="s">
        <v>1204</v>
      </c>
      <c r="J180" t="s">
        <v>1205</v>
      </c>
      <c r="K180" t="s">
        <v>2</v>
      </c>
      <c r="L180" t="str">
        <f t="shared" si="4"/>
        <v>Critical Analysis: Lauren_Market Intel Report Decodes Mining Dynamics!</v>
      </c>
      <c r="M180" t="str">
        <f t="shared" si="5"/>
        <v>Lauren_2ND Follow-up on Mining Market Research Insights</v>
      </c>
    </row>
    <row r="181" spans="1:13" x14ac:dyDescent="0.25">
      <c r="A181" t="s">
        <v>1206</v>
      </c>
      <c r="B181" t="s">
        <v>1207</v>
      </c>
      <c r="C181" t="s">
        <v>1208</v>
      </c>
      <c r="D181" t="s">
        <v>1209</v>
      </c>
      <c r="E181" t="s">
        <v>402</v>
      </c>
      <c r="F181" t="s">
        <v>211</v>
      </c>
      <c r="G181" t="s">
        <v>1210</v>
      </c>
      <c r="H181" t="s">
        <v>196</v>
      </c>
      <c r="I181" t="s">
        <v>1211</v>
      </c>
      <c r="J181" t="s">
        <v>1212</v>
      </c>
      <c r="K181" t="s">
        <v>2</v>
      </c>
      <c r="L181" t="str">
        <f t="shared" si="4"/>
        <v>Critical Analysis: Theodore_Market Intel Report Decodes Mining Dynamics!</v>
      </c>
      <c r="M181" t="str">
        <f t="shared" si="5"/>
        <v>Theodore_2ND Follow-up on Mining Market Research Insights</v>
      </c>
    </row>
    <row r="182" spans="1:13" x14ac:dyDescent="0.25">
      <c r="A182" t="s">
        <v>1213</v>
      </c>
      <c r="B182" t="s">
        <v>1214</v>
      </c>
      <c r="C182" t="s">
        <v>976</v>
      </c>
      <c r="D182" t="s">
        <v>1215</v>
      </c>
      <c r="E182" t="s">
        <v>352</v>
      </c>
      <c r="F182" t="s">
        <v>309</v>
      </c>
      <c r="G182" t="s">
        <v>1216</v>
      </c>
      <c r="H182" t="s">
        <v>196</v>
      </c>
      <c r="I182" t="s">
        <v>1217</v>
      </c>
      <c r="J182" t="s">
        <v>1218</v>
      </c>
      <c r="K182" t="s">
        <v>2</v>
      </c>
      <c r="L182" t="str">
        <f t="shared" si="4"/>
        <v>Critical Analysis: Paddy_Market Intel Report Decodes Mining Dynamics!</v>
      </c>
      <c r="M182" t="str">
        <f t="shared" si="5"/>
        <v>Paddy_2ND Follow-up on Mining Market Research Insights</v>
      </c>
    </row>
    <row r="183" spans="1:13" x14ac:dyDescent="0.25">
      <c r="A183" t="s">
        <v>1219</v>
      </c>
      <c r="B183" t="s">
        <v>1220</v>
      </c>
      <c r="C183" t="s">
        <v>53</v>
      </c>
      <c r="D183" t="s">
        <v>1221</v>
      </c>
      <c r="E183" t="s">
        <v>1222</v>
      </c>
      <c r="F183" t="s">
        <v>395</v>
      </c>
      <c r="G183" t="s">
        <v>1223</v>
      </c>
      <c r="H183" t="s">
        <v>196</v>
      </c>
      <c r="I183" t="s">
        <v>1</v>
      </c>
      <c r="J183" t="s">
        <v>1224</v>
      </c>
      <c r="K183" t="s">
        <v>2</v>
      </c>
      <c r="L183" t="str">
        <f t="shared" si="4"/>
        <v>Critical Analysis: Pal_Market Intel Report Decodes Mining Dynamics!</v>
      </c>
      <c r="M183" t="str">
        <f t="shared" si="5"/>
        <v>Pal_2ND Follow-up on Mining Market Research Insights</v>
      </c>
    </row>
    <row r="184" spans="1:13" x14ac:dyDescent="0.25">
      <c r="A184" t="s">
        <v>1225</v>
      </c>
      <c r="B184" t="s">
        <v>1226</v>
      </c>
      <c r="C184" t="s">
        <v>53</v>
      </c>
      <c r="D184" t="s">
        <v>1227</v>
      </c>
      <c r="E184" t="s">
        <v>1228</v>
      </c>
      <c r="F184" t="s">
        <v>1229</v>
      </c>
      <c r="G184" t="s">
        <v>1230</v>
      </c>
      <c r="H184" t="s">
        <v>196</v>
      </c>
      <c r="I184" t="s">
        <v>1</v>
      </c>
      <c r="J184" t="s">
        <v>1231</v>
      </c>
      <c r="K184" t="s">
        <v>2</v>
      </c>
      <c r="L184" t="str">
        <f t="shared" si="4"/>
        <v>Critical Analysis: Torsten_Market Intel Report Decodes Mining Dynamics!</v>
      </c>
      <c r="M184" t="str">
        <f t="shared" si="5"/>
        <v>Torsten_2ND Follow-up on Mining Market Research Insights</v>
      </c>
    </row>
    <row r="185" spans="1:13" x14ac:dyDescent="0.25">
      <c r="A185" t="s">
        <v>37</v>
      </c>
      <c r="B185" t="s">
        <v>1232</v>
      </c>
      <c r="C185" t="s">
        <v>156</v>
      </c>
      <c r="D185" t="s">
        <v>685</v>
      </c>
      <c r="E185" t="s">
        <v>686</v>
      </c>
      <c r="F185" t="s">
        <v>687</v>
      </c>
      <c r="G185" t="s">
        <v>688</v>
      </c>
      <c r="H185" t="s">
        <v>196</v>
      </c>
      <c r="I185" t="s">
        <v>689</v>
      </c>
      <c r="J185" t="s">
        <v>1233</v>
      </c>
      <c r="K185" t="s">
        <v>2</v>
      </c>
      <c r="L185" t="str">
        <f t="shared" si="4"/>
        <v>Critical Analysis: Nick_Market Intel Report Decodes Mining Dynamics!</v>
      </c>
      <c r="M185" t="str">
        <f t="shared" si="5"/>
        <v>Nick_2ND Follow-up on Mining Market Research Insights</v>
      </c>
    </row>
    <row r="186" spans="1:13" x14ac:dyDescent="0.25">
      <c r="A186" t="s">
        <v>1234</v>
      </c>
      <c r="B186" t="s">
        <v>1235</v>
      </c>
      <c r="C186" t="s">
        <v>632</v>
      </c>
      <c r="D186" t="s">
        <v>1236</v>
      </c>
      <c r="E186" t="s">
        <v>1237</v>
      </c>
      <c r="F186" t="s">
        <v>1238</v>
      </c>
      <c r="G186" t="s">
        <v>16</v>
      </c>
      <c r="H186" t="s">
        <v>196</v>
      </c>
      <c r="I186" t="s">
        <v>1239</v>
      </c>
      <c r="J186" t="s">
        <v>1240</v>
      </c>
      <c r="K186" t="s">
        <v>2</v>
      </c>
      <c r="L186" t="str">
        <f t="shared" si="4"/>
        <v>Critical Analysis: Austin_Market Intel Report Decodes Mining Dynamics!</v>
      </c>
      <c r="M186" t="str">
        <f t="shared" si="5"/>
        <v>Austin_2ND Follow-up on Mining Market Research Insights</v>
      </c>
    </row>
    <row r="187" spans="1:13" x14ac:dyDescent="0.25">
      <c r="A187" t="s">
        <v>298</v>
      </c>
      <c r="B187" t="s">
        <v>1241</v>
      </c>
      <c r="C187" t="s">
        <v>1242</v>
      </c>
      <c r="D187" t="s">
        <v>1243</v>
      </c>
      <c r="E187" t="s">
        <v>1244</v>
      </c>
      <c r="F187" t="s">
        <v>348</v>
      </c>
      <c r="G187" t="s">
        <v>1245</v>
      </c>
      <c r="H187" t="s">
        <v>196</v>
      </c>
      <c r="I187" t="s">
        <v>1</v>
      </c>
      <c r="J187" t="s">
        <v>1246</v>
      </c>
      <c r="K187" t="s">
        <v>2</v>
      </c>
      <c r="L187" t="str">
        <f t="shared" si="4"/>
        <v>Critical Analysis: Peter_Market Intel Report Decodes Mining Dynamics!</v>
      </c>
      <c r="M187" t="str">
        <f t="shared" si="5"/>
        <v>Peter_2ND Follow-up on Mining Market Research Insights</v>
      </c>
    </row>
    <row r="188" spans="1:13" x14ac:dyDescent="0.25">
      <c r="A188" t="s">
        <v>1247</v>
      </c>
      <c r="B188" t="s">
        <v>1248</v>
      </c>
      <c r="C188" t="s">
        <v>10</v>
      </c>
      <c r="D188" t="s">
        <v>1249</v>
      </c>
      <c r="E188" t="s">
        <v>446</v>
      </c>
      <c r="F188" t="s">
        <v>867</v>
      </c>
      <c r="G188" t="s">
        <v>16</v>
      </c>
      <c r="H188" t="s">
        <v>196</v>
      </c>
      <c r="I188" t="s">
        <v>1250</v>
      </c>
      <c r="J188" t="s">
        <v>1251</v>
      </c>
      <c r="K188" t="s">
        <v>2</v>
      </c>
      <c r="L188" t="str">
        <f t="shared" si="4"/>
        <v>Critical Analysis: Nicholas_Market Intel Report Decodes Mining Dynamics!</v>
      </c>
      <c r="M188" t="str">
        <f t="shared" si="5"/>
        <v>Nicholas_2ND Follow-up on Mining Market Research Insights</v>
      </c>
    </row>
    <row r="189" spans="1:13" x14ac:dyDescent="0.25">
      <c r="A189" t="s">
        <v>1252</v>
      </c>
      <c r="B189" t="s">
        <v>622</v>
      </c>
      <c r="C189" t="s">
        <v>1253</v>
      </c>
      <c r="D189" t="s">
        <v>1254</v>
      </c>
      <c r="E189" t="s">
        <v>1255</v>
      </c>
      <c r="F189" t="s">
        <v>1256</v>
      </c>
      <c r="G189" t="s">
        <v>1257</v>
      </c>
      <c r="H189" t="s">
        <v>196</v>
      </c>
      <c r="I189" t="s">
        <v>1258</v>
      </c>
      <c r="J189" t="s">
        <v>1259</v>
      </c>
      <c r="K189" t="s">
        <v>2</v>
      </c>
      <c r="L189" t="str">
        <f t="shared" si="4"/>
        <v>Critical Analysis: Brad_Market Intel Report Decodes Mining Dynamics!</v>
      </c>
      <c r="M189" t="str">
        <f t="shared" si="5"/>
        <v>Brad_2ND Follow-up on Mining Market Research Insights</v>
      </c>
    </row>
    <row r="190" spans="1:13" x14ac:dyDescent="0.25">
      <c r="A190" t="s">
        <v>1262</v>
      </c>
      <c r="B190" t="s">
        <v>1263</v>
      </c>
      <c r="C190" t="s">
        <v>53</v>
      </c>
      <c r="D190" t="s">
        <v>1264</v>
      </c>
      <c r="E190" t="s">
        <v>1001</v>
      </c>
      <c r="F190" t="s">
        <v>732</v>
      </c>
      <c r="G190" t="s">
        <v>1265</v>
      </c>
      <c r="H190" t="s">
        <v>196</v>
      </c>
      <c r="I190" t="s">
        <v>1266</v>
      </c>
      <c r="J190" t="s">
        <v>1267</v>
      </c>
      <c r="K190" t="s">
        <v>2</v>
      </c>
      <c r="L190" t="str">
        <f t="shared" si="4"/>
        <v>Critical Analysis: Fatih_Market Intel Report Decodes Mining Dynamics!</v>
      </c>
      <c r="M190" t="str">
        <f t="shared" si="5"/>
        <v>Fatih_2ND Follow-up on Mining Market Research Insights</v>
      </c>
    </row>
    <row r="191" spans="1:13" x14ac:dyDescent="0.25">
      <c r="A191" t="s">
        <v>1269</v>
      </c>
      <c r="B191" t="s">
        <v>1270</v>
      </c>
      <c r="C191" t="s">
        <v>976</v>
      </c>
      <c r="D191" t="s">
        <v>1271</v>
      </c>
      <c r="E191" t="s">
        <v>1272</v>
      </c>
      <c r="F191" t="s">
        <v>732</v>
      </c>
      <c r="G191" t="s">
        <v>1273</v>
      </c>
      <c r="H191" t="s">
        <v>196</v>
      </c>
      <c r="I191" t="s">
        <v>1</v>
      </c>
      <c r="J191" t="s">
        <v>1274</v>
      </c>
      <c r="K191" t="s">
        <v>2</v>
      </c>
      <c r="L191" t="str">
        <f t="shared" si="4"/>
        <v>Critical Analysis: James_Market Intel Report Decodes Mining Dynamics!</v>
      </c>
      <c r="M191" t="str">
        <f t="shared" si="5"/>
        <v>James_2ND Follow-up on Mining Market Research Insights</v>
      </c>
    </row>
    <row r="192" spans="1:13" x14ac:dyDescent="0.25">
      <c r="A192" t="s">
        <v>1275</v>
      </c>
      <c r="B192" t="s">
        <v>1276</v>
      </c>
      <c r="C192" t="s">
        <v>632</v>
      </c>
      <c r="D192" t="s">
        <v>1277</v>
      </c>
      <c r="E192" t="s">
        <v>1278</v>
      </c>
      <c r="F192" t="s">
        <v>1279</v>
      </c>
      <c r="G192" t="s">
        <v>1280</v>
      </c>
      <c r="H192" t="s">
        <v>196</v>
      </c>
      <c r="I192" t="s">
        <v>1281</v>
      </c>
      <c r="J192" t="s">
        <v>1282</v>
      </c>
      <c r="K192" t="s">
        <v>2</v>
      </c>
      <c r="L192" t="str">
        <f t="shared" si="4"/>
        <v>Critical Analysis: Filiz_Market Intel Report Decodes Mining Dynamics!</v>
      </c>
      <c r="M192" t="str">
        <f t="shared" si="5"/>
        <v>Filiz_2ND Follow-up on Mining Market Research Insights</v>
      </c>
    </row>
    <row r="193" spans="1:13" x14ac:dyDescent="0.25">
      <c r="A193" t="s">
        <v>1283</v>
      </c>
      <c r="B193" t="s">
        <v>1284</v>
      </c>
      <c r="C193" t="s">
        <v>33</v>
      </c>
      <c r="D193" t="s">
        <v>1285</v>
      </c>
      <c r="E193" t="s">
        <v>686</v>
      </c>
      <c r="F193" t="s">
        <v>739</v>
      </c>
      <c r="G193" t="s">
        <v>16</v>
      </c>
      <c r="H193" t="s">
        <v>196</v>
      </c>
      <c r="I193" t="s">
        <v>1286</v>
      </c>
      <c r="J193" t="s">
        <v>1287</v>
      </c>
      <c r="K193" t="s">
        <v>2</v>
      </c>
      <c r="L193" t="str">
        <f t="shared" si="4"/>
        <v>Critical Analysis: Rodolfo_Market Intel Report Decodes Mining Dynamics!</v>
      </c>
      <c r="M193" t="str">
        <f t="shared" si="5"/>
        <v>Rodolfo_2ND Follow-up on Mining Market Research Insights</v>
      </c>
    </row>
    <row r="194" spans="1:13" x14ac:dyDescent="0.25">
      <c r="A194" t="s">
        <v>1288</v>
      </c>
      <c r="B194" t="s">
        <v>1289</v>
      </c>
      <c r="C194" t="s">
        <v>1290</v>
      </c>
      <c r="D194" t="s">
        <v>1291</v>
      </c>
      <c r="E194" t="s">
        <v>1292</v>
      </c>
      <c r="F194" t="s">
        <v>1127</v>
      </c>
      <c r="G194" t="s">
        <v>1293</v>
      </c>
      <c r="H194" t="s">
        <v>196</v>
      </c>
      <c r="I194" t="s">
        <v>1294</v>
      </c>
      <c r="J194" t="s">
        <v>1295</v>
      </c>
      <c r="K194" t="s">
        <v>2</v>
      </c>
      <c r="L194" t="str">
        <f t="shared" ref="L194:L257" si="6">"Critical Analysis: "&amp;A194&amp;"_Market Intel Report Decodes "&amp;K194&amp;" Dynamics!"</f>
        <v>Critical Analysis: Seren_Market Intel Report Decodes Mining Dynamics!</v>
      </c>
      <c r="M194" t="str">
        <f t="shared" si="5"/>
        <v>Seren_2ND Follow-up on Mining Market Research Insights</v>
      </c>
    </row>
    <row r="195" spans="1:13" x14ac:dyDescent="0.25">
      <c r="A195" t="s">
        <v>111</v>
      </c>
      <c r="B195" t="s">
        <v>1296</v>
      </c>
      <c r="C195" t="s">
        <v>33</v>
      </c>
      <c r="D195" t="s">
        <v>1297</v>
      </c>
      <c r="E195" t="s">
        <v>1298</v>
      </c>
      <c r="F195" t="s">
        <v>1299</v>
      </c>
      <c r="G195" t="s">
        <v>1300</v>
      </c>
      <c r="H195" t="s">
        <v>196</v>
      </c>
      <c r="I195" t="s">
        <v>1301</v>
      </c>
      <c r="J195" t="s">
        <v>1302</v>
      </c>
      <c r="K195" t="s">
        <v>2</v>
      </c>
      <c r="L195" t="str">
        <f t="shared" si="6"/>
        <v>Critical Analysis: Chris_Market Intel Report Decodes Mining Dynamics!</v>
      </c>
      <c r="M195" t="str">
        <f t="shared" ref="M195:M258" si="7">A195&amp;"_2ND Follow-up on " &amp;K195&amp;" Market Research Insights"</f>
        <v>Chris_2ND Follow-up on Mining Market Research Insights</v>
      </c>
    </row>
    <row r="196" spans="1:13" x14ac:dyDescent="0.25">
      <c r="A196" t="s">
        <v>1304</v>
      </c>
      <c r="B196" t="s">
        <v>1305</v>
      </c>
      <c r="C196" t="s">
        <v>1306</v>
      </c>
      <c r="D196" t="s">
        <v>1307</v>
      </c>
      <c r="E196" t="s">
        <v>1308</v>
      </c>
      <c r="F196" t="s">
        <v>447</v>
      </c>
      <c r="G196" t="s">
        <v>16</v>
      </c>
      <c r="H196" t="s">
        <v>196</v>
      </c>
      <c r="I196" t="s">
        <v>1309</v>
      </c>
      <c r="J196" t="s">
        <v>1310</v>
      </c>
      <c r="K196" t="s">
        <v>2</v>
      </c>
      <c r="L196" t="str">
        <f t="shared" si="6"/>
        <v>Critical Analysis: Petronella_Market Intel Report Decodes Mining Dynamics!</v>
      </c>
      <c r="M196" t="str">
        <f t="shared" si="7"/>
        <v>Petronella_2ND Follow-up on Mining Market Research Insights</v>
      </c>
    </row>
    <row r="197" spans="1:13" x14ac:dyDescent="0.25">
      <c r="A197" t="s">
        <v>1311</v>
      </c>
      <c r="B197" t="s">
        <v>32</v>
      </c>
      <c r="C197" t="s">
        <v>113</v>
      </c>
      <c r="D197" t="s">
        <v>1312</v>
      </c>
      <c r="E197" t="s">
        <v>1313</v>
      </c>
      <c r="F197" t="s">
        <v>302</v>
      </c>
      <c r="G197" t="s">
        <v>1314</v>
      </c>
      <c r="H197" t="s">
        <v>196</v>
      </c>
      <c r="I197" t="s">
        <v>1315</v>
      </c>
      <c r="J197" t="s">
        <v>1316</v>
      </c>
      <c r="K197" t="s">
        <v>2</v>
      </c>
      <c r="L197" t="str">
        <f t="shared" si="6"/>
        <v>Critical Analysis: Cindy_Market Intel Report Decodes Mining Dynamics!</v>
      </c>
      <c r="M197" t="str">
        <f t="shared" si="7"/>
        <v>Cindy_2ND Follow-up on Mining Market Research Insights</v>
      </c>
    </row>
    <row r="198" spans="1:13" x14ac:dyDescent="0.25">
      <c r="A198" t="s">
        <v>427</v>
      </c>
      <c r="B198" t="s">
        <v>1317</v>
      </c>
      <c r="C198" t="s">
        <v>1318</v>
      </c>
      <c r="D198" t="s">
        <v>1319</v>
      </c>
      <c r="E198" t="s">
        <v>574</v>
      </c>
      <c r="F198" t="s">
        <v>1056</v>
      </c>
      <c r="G198" t="s">
        <v>1320</v>
      </c>
      <c r="H198" t="s">
        <v>196</v>
      </c>
      <c r="I198" t="s">
        <v>1</v>
      </c>
      <c r="J198" t="s">
        <v>1321</v>
      </c>
      <c r="K198" t="s">
        <v>2</v>
      </c>
      <c r="L198" t="str">
        <f t="shared" si="6"/>
        <v>Critical Analysis: Whitney_Market Intel Report Decodes Mining Dynamics!</v>
      </c>
      <c r="M198" t="str">
        <f t="shared" si="7"/>
        <v>Whitney_2ND Follow-up on Mining Market Research Insights</v>
      </c>
    </row>
    <row r="199" spans="1:13" x14ac:dyDescent="0.25">
      <c r="A199" t="s">
        <v>1322</v>
      </c>
      <c r="B199" t="s">
        <v>1323</v>
      </c>
      <c r="C199" t="s">
        <v>632</v>
      </c>
      <c r="D199" t="s">
        <v>1324</v>
      </c>
      <c r="E199" t="s">
        <v>1325</v>
      </c>
      <c r="F199" t="s">
        <v>1326</v>
      </c>
      <c r="G199" t="s">
        <v>16</v>
      </c>
      <c r="H199" t="s">
        <v>196</v>
      </c>
      <c r="I199" t="s">
        <v>1327</v>
      </c>
      <c r="J199" t="s">
        <v>1328</v>
      </c>
      <c r="K199" t="s">
        <v>2</v>
      </c>
      <c r="L199" t="str">
        <f t="shared" si="6"/>
        <v>Critical Analysis: Alvin_Market Intel Report Decodes Mining Dynamics!</v>
      </c>
      <c r="M199" t="str">
        <f t="shared" si="7"/>
        <v>Alvin_2ND Follow-up on Mining Market Research Insights</v>
      </c>
    </row>
    <row r="200" spans="1:13" x14ac:dyDescent="0.25">
      <c r="A200" t="s">
        <v>644</v>
      </c>
      <c r="B200" t="s">
        <v>1329</v>
      </c>
      <c r="C200" t="s">
        <v>1330</v>
      </c>
      <c r="D200" t="s">
        <v>1331</v>
      </c>
      <c r="E200" t="s">
        <v>1332</v>
      </c>
      <c r="F200" t="s">
        <v>732</v>
      </c>
      <c r="G200" t="s">
        <v>16</v>
      </c>
      <c r="H200" t="s">
        <v>196</v>
      </c>
      <c r="I200" t="s">
        <v>1</v>
      </c>
      <c r="J200" t="s">
        <v>1333</v>
      </c>
      <c r="K200" t="s">
        <v>2</v>
      </c>
      <c r="L200" t="str">
        <f t="shared" si="6"/>
        <v>Critical Analysis: Mario_Market Intel Report Decodes Mining Dynamics!</v>
      </c>
      <c r="M200" t="str">
        <f t="shared" si="7"/>
        <v>Mario_2ND Follow-up on Mining Market Research Insights</v>
      </c>
    </row>
    <row r="201" spans="1:13" x14ac:dyDescent="0.25">
      <c r="A201" t="s">
        <v>1334</v>
      </c>
      <c r="B201" t="s">
        <v>1335</v>
      </c>
      <c r="C201" t="s">
        <v>53</v>
      </c>
      <c r="D201" t="s">
        <v>1336</v>
      </c>
      <c r="E201" t="s">
        <v>1001</v>
      </c>
      <c r="F201" t="s">
        <v>1337</v>
      </c>
      <c r="G201" t="s">
        <v>1338</v>
      </c>
      <c r="H201" t="s">
        <v>196</v>
      </c>
      <c r="I201" t="s">
        <v>1339</v>
      </c>
      <c r="J201" t="s">
        <v>1340</v>
      </c>
      <c r="K201" t="s">
        <v>2</v>
      </c>
      <c r="L201" t="str">
        <f t="shared" si="6"/>
        <v>Critical Analysis: Renan_Market Intel Report Decodes Mining Dynamics!</v>
      </c>
      <c r="M201" t="str">
        <f t="shared" si="7"/>
        <v>Renan_2ND Follow-up on Mining Market Research Insights</v>
      </c>
    </row>
    <row r="202" spans="1:13" x14ac:dyDescent="0.25">
      <c r="A202" t="s">
        <v>1341</v>
      </c>
      <c r="B202" t="s">
        <v>1342</v>
      </c>
      <c r="C202" t="s">
        <v>1343</v>
      </c>
      <c r="D202" t="s">
        <v>1344</v>
      </c>
      <c r="E202" t="s">
        <v>1345</v>
      </c>
      <c r="F202" t="s">
        <v>317</v>
      </c>
      <c r="G202" t="s">
        <v>16</v>
      </c>
      <c r="H202" t="s">
        <v>196</v>
      </c>
      <c r="I202" t="s">
        <v>1346</v>
      </c>
      <c r="J202" t="s">
        <v>1347</v>
      </c>
      <c r="K202" t="s">
        <v>2</v>
      </c>
      <c r="L202" t="str">
        <f t="shared" si="6"/>
        <v>Critical Analysis: Maya_Market Intel Report Decodes Mining Dynamics!</v>
      </c>
      <c r="M202" t="str">
        <f t="shared" si="7"/>
        <v>Maya_2ND Follow-up on Mining Market Research Insights</v>
      </c>
    </row>
    <row r="203" spans="1:13" x14ac:dyDescent="0.25">
      <c r="A203" t="s">
        <v>399</v>
      </c>
      <c r="B203" t="s">
        <v>1348</v>
      </c>
      <c r="C203" t="s">
        <v>10</v>
      </c>
      <c r="D203" t="s">
        <v>1349</v>
      </c>
      <c r="E203" t="s">
        <v>1350</v>
      </c>
      <c r="F203" t="s">
        <v>739</v>
      </c>
      <c r="G203" t="s">
        <v>1351</v>
      </c>
      <c r="H203" t="s">
        <v>353</v>
      </c>
      <c r="I203" t="s">
        <v>1352</v>
      </c>
      <c r="J203" t="s">
        <v>1353</v>
      </c>
      <c r="K203" t="s">
        <v>2</v>
      </c>
      <c r="L203" t="str">
        <f t="shared" si="6"/>
        <v>Critical Analysis: David_Market Intel Report Decodes Mining Dynamics!</v>
      </c>
      <c r="M203" t="str">
        <f t="shared" si="7"/>
        <v>David_2ND Follow-up on Mining Market Research Insights</v>
      </c>
    </row>
    <row r="204" spans="1:13" x14ac:dyDescent="0.25">
      <c r="A204" t="s">
        <v>1354</v>
      </c>
      <c r="B204" t="s">
        <v>59</v>
      </c>
      <c r="C204" t="s">
        <v>33</v>
      </c>
      <c r="D204" t="s">
        <v>1355</v>
      </c>
      <c r="E204" t="s">
        <v>1356</v>
      </c>
      <c r="F204" t="s">
        <v>1357</v>
      </c>
      <c r="G204" t="s">
        <v>1358</v>
      </c>
      <c r="H204" t="s">
        <v>196</v>
      </c>
      <c r="I204" t="s">
        <v>1359</v>
      </c>
      <c r="J204" t="s">
        <v>1360</v>
      </c>
      <c r="K204" t="s">
        <v>2</v>
      </c>
      <c r="L204" t="str">
        <f t="shared" si="6"/>
        <v>Critical Analysis: Keerti_Market Intel Report Decodes Mining Dynamics!</v>
      </c>
      <c r="M204" t="str">
        <f t="shared" si="7"/>
        <v>Keerti_2ND Follow-up on Mining Market Research Insights</v>
      </c>
    </row>
    <row r="205" spans="1:13" x14ac:dyDescent="0.25">
      <c r="A205" t="s">
        <v>1361</v>
      </c>
      <c r="B205" t="s">
        <v>1362</v>
      </c>
      <c r="C205" t="s">
        <v>10</v>
      </c>
      <c r="D205" t="s">
        <v>1363</v>
      </c>
      <c r="E205" t="s">
        <v>194</v>
      </c>
      <c r="F205" t="s">
        <v>739</v>
      </c>
      <c r="G205" t="s">
        <v>16</v>
      </c>
      <c r="H205" t="s">
        <v>196</v>
      </c>
      <c r="I205" t="s">
        <v>1</v>
      </c>
      <c r="J205" t="s">
        <v>1364</v>
      </c>
      <c r="K205" t="s">
        <v>2</v>
      </c>
      <c r="L205" t="str">
        <f t="shared" si="6"/>
        <v>Critical Analysis: Bobby_Market Intel Report Decodes Mining Dynamics!</v>
      </c>
      <c r="M205" t="str">
        <f t="shared" si="7"/>
        <v>Bobby_2ND Follow-up on Mining Market Research Insights</v>
      </c>
    </row>
    <row r="206" spans="1:13" x14ac:dyDescent="0.25">
      <c r="A206" t="s">
        <v>1365</v>
      </c>
      <c r="B206" t="s">
        <v>1366</v>
      </c>
      <c r="C206" t="s">
        <v>33</v>
      </c>
      <c r="D206" t="s">
        <v>1367</v>
      </c>
      <c r="E206" t="s">
        <v>1368</v>
      </c>
      <c r="F206" t="s">
        <v>289</v>
      </c>
      <c r="G206" t="s">
        <v>1369</v>
      </c>
      <c r="H206" t="s">
        <v>196</v>
      </c>
      <c r="I206" t="s">
        <v>1</v>
      </c>
      <c r="J206" t="s">
        <v>1370</v>
      </c>
      <c r="K206" t="s">
        <v>2</v>
      </c>
      <c r="L206" t="str">
        <f t="shared" si="6"/>
        <v>Critical Analysis: Uli_Market Intel Report Decodes Mining Dynamics!</v>
      </c>
      <c r="M206" t="str">
        <f t="shared" si="7"/>
        <v>Uli_2ND Follow-up on Mining Market Research Insights</v>
      </c>
    </row>
    <row r="207" spans="1:13" x14ac:dyDescent="0.25">
      <c r="A207" t="s">
        <v>1371</v>
      </c>
      <c r="B207" t="s">
        <v>1372</v>
      </c>
      <c r="C207" t="s">
        <v>10</v>
      </c>
      <c r="D207" t="s">
        <v>1373</v>
      </c>
      <c r="E207" t="s">
        <v>115</v>
      </c>
      <c r="F207" t="s">
        <v>262</v>
      </c>
      <c r="G207" t="s">
        <v>16</v>
      </c>
      <c r="H207" t="s">
        <v>196</v>
      </c>
      <c r="I207" t="s">
        <v>1374</v>
      </c>
      <c r="J207" t="s">
        <v>1375</v>
      </c>
      <c r="K207" t="s">
        <v>2</v>
      </c>
      <c r="L207" t="str">
        <f t="shared" si="6"/>
        <v>Critical Analysis: George_Market Intel Report Decodes Mining Dynamics!</v>
      </c>
      <c r="M207" t="str">
        <f t="shared" si="7"/>
        <v>George_2ND Follow-up on Mining Market Research Insights</v>
      </c>
    </row>
    <row r="208" spans="1:13" x14ac:dyDescent="0.25">
      <c r="A208" t="s">
        <v>1376</v>
      </c>
      <c r="B208" t="s">
        <v>1377</v>
      </c>
      <c r="C208" t="s">
        <v>33</v>
      </c>
      <c r="D208" t="s">
        <v>1378</v>
      </c>
      <c r="E208" t="s">
        <v>528</v>
      </c>
      <c r="F208" t="s">
        <v>211</v>
      </c>
      <c r="G208" t="s">
        <v>1379</v>
      </c>
      <c r="H208" t="s">
        <v>196</v>
      </c>
      <c r="I208" t="s">
        <v>1</v>
      </c>
      <c r="J208" t="s">
        <v>1380</v>
      </c>
      <c r="K208" t="s">
        <v>2</v>
      </c>
      <c r="L208" t="str">
        <f t="shared" si="6"/>
        <v>Critical Analysis: Dean_Market Intel Report Decodes Mining Dynamics!</v>
      </c>
      <c r="M208" t="str">
        <f t="shared" si="7"/>
        <v>Dean_2ND Follow-up on Mining Market Research Insights</v>
      </c>
    </row>
    <row r="209" spans="1:13" x14ac:dyDescent="0.25">
      <c r="A209" t="s">
        <v>276</v>
      </c>
      <c r="B209" t="s">
        <v>1381</v>
      </c>
      <c r="C209" t="s">
        <v>33</v>
      </c>
      <c r="D209" t="s">
        <v>1382</v>
      </c>
      <c r="E209" t="s">
        <v>1383</v>
      </c>
      <c r="F209" t="s">
        <v>302</v>
      </c>
      <c r="G209" t="s">
        <v>1384</v>
      </c>
      <c r="H209" t="s">
        <v>196</v>
      </c>
      <c r="I209" t="s">
        <v>1</v>
      </c>
      <c r="J209" t="s">
        <v>1385</v>
      </c>
      <c r="K209" t="s">
        <v>2</v>
      </c>
      <c r="L209" t="str">
        <f t="shared" si="6"/>
        <v>Critical Analysis: Daniel_Market Intel Report Decodes Mining Dynamics!</v>
      </c>
      <c r="M209" t="str">
        <f t="shared" si="7"/>
        <v>Daniel_2ND Follow-up on Mining Market Research Insights</v>
      </c>
    </row>
    <row r="210" spans="1:13" x14ac:dyDescent="0.25">
      <c r="A210" t="s">
        <v>1190</v>
      </c>
      <c r="B210" t="s">
        <v>1386</v>
      </c>
      <c r="C210" t="s">
        <v>26</v>
      </c>
      <c r="D210" t="s">
        <v>1387</v>
      </c>
      <c r="E210" t="s">
        <v>1069</v>
      </c>
      <c r="F210" t="s">
        <v>739</v>
      </c>
      <c r="G210" t="s">
        <v>16</v>
      </c>
      <c r="H210" t="s">
        <v>196</v>
      </c>
      <c r="I210" t="s">
        <v>1388</v>
      </c>
      <c r="J210" t="s">
        <v>1389</v>
      </c>
      <c r="K210" t="s">
        <v>2</v>
      </c>
      <c r="L210" t="str">
        <f t="shared" si="6"/>
        <v>Critical Analysis: Francisco_Market Intel Report Decodes Mining Dynamics!</v>
      </c>
      <c r="M210" t="str">
        <f t="shared" si="7"/>
        <v>Francisco_2ND Follow-up on Mining Market Research Insights</v>
      </c>
    </row>
    <row r="211" spans="1:13" x14ac:dyDescent="0.25">
      <c r="A211" t="s">
        <v>1390</v>
      </c>
      <c r="B211" t="s">
        <v>1391</v>
      </c>
      <c r="C211" t="s">
        <v>1392</v>
      </c>
      <c r="D211" t="s">
        <v>1393</v>
      </c>
      <c r="E211" t="s">
        <v>1394</v>
      </c>
      <c r="F211" t="s">
        <v>687</v>
      </c>
      <c r="G211" t="s">
        <v>1395</v>
      </c>
      <c r="H211" t="s">
        <v>196</v>
      </c>
      <c r="I211" t="s">
        <v>1396</v>
      </c>
      <c r="J211" t="s">
        <v>1397</v>
      </c>
      <c r="K211" t="s">
        <v>2</v>
      </c>
      <c r="L211" t="str">
        <f t="shared" si="6"/>
        <v>Critical Analysis: Greger_Market Intel Report Decodes Mining Dynamics!</v>
      </c>
      <c r="M211" t="str">
        <f t="shared" si="7"/>
        <v>Greger_2ND Follow-up on Mining Market Research Insights</v>
      </c>
    </row>
    <row r="212" spans="1:13" x14ac:dyDescent="0.25">
      <c r="A212" t="s">
        <v>1398</v>
      </c>
      <c r="B212" t="s">
        <v>1399</v>
      </c>
      <c r="C212" t="s">
        <v>1400</v>
      </c>
      <c r="D212" t="s">
        <v>1401</v>
      </c>
      <c r="E212" t="s">
        <v>1402</v>
      </c>
      <c r="F212" t="s">
        <v>1403</v>
      </c>
      <c r="G212" t="s">
        <v>1404</v>
      </c>
      <c r="H212" t="s">
        <v>196</v>
      </c>
      <c r="I212" t="s">
        <v>1405</v>
      </c>
      <c r="J212" t="s">
        <v>1406</v>
      </c>
      <c r="K212" t="s">
        <v>2</v>
      </c>
      <c r="L212" t="str">
        <f t="shared" si="6"/>
        <v>Critical Analysis: Emanuel_Market Intel Report Decodes Mining Dynamics!</v>
      </c>
      <c r="M212" t="str">
        <f t="shared" si="7"/>
        <v>Emanuel_2ND Follow-up on Mining Market Research Insights</v>
      </c>
    </row>
    <row r="213" spans="1:13" x14ac:dyDescent="0.25">
      <c r="A213" t="s">
        <v>1407</v>
      </c>
      <c r="B213" t="s">
        <v>1408</v>
      </c>
      <c r="C213" t="s">
        <v>1409</v>
      </c>
      <c r="D213" t="s">
        <v>1410</v>
      </c>
      <c r="E213" t="s">
        <v>1411</v>
      </c>
      <c r="F213" t="s">
        <v>447</v>
      </c>
      <c r="G213" t="s">
        <v>16</v>
      </c>
      <c r="H213" t="s">
        <v>196</v>
      </c>
      <c r="I213" t="s">
        <v>1</v>
      </c>
      <c r="J213" t="s">
        <v>1412</v>
      </c>
      <c r="K213" t="s">
        <v>2</v>
      </c>
      <c r="L213" t="str">
        <f t="shared" si="6"/>
        <v>Critical Analysis: Carlos_Market Intel Report Decodes Mining Dynamics!</v>
      </c>
      <c r="M213" t="str">
        <f t="shared" si="7"/>
        <v>Carlos_2ND Follow-up on Mining Market Research Insights</v>
      </c>
    </row>
    <row r="214" spans="1:13" x14ac:dyDescent="0.25">
      <c r="A214" t="s">
        <v>1413</v>
      </c>
      <c r="B214" t="s">
        <v>1414</v>
      </c>
      <c r="C214" t="s">
        <v>113</v>
      </c>
      <c r="D214" t="s">
        <v>1415</v>
      </c>
      <c r="E214" t="s">
        <v>1416</v>
      </c>
      <c r="F214" t="s">
        <v>1417</v>
      </c>
      <c r="G214" t="s">
        <v>1418</v>
      </c>
      <c r="H214" t="s">
        <v>196</v>
      </c>
      <c r="I214" t="s">
        <v>1</v>
      </c>
      <c r="J214" t="s">
        <v>1419</v>
      </c>
      <c r="K214" t="s">
        <v>2</v>
      </c>
      <c r="L214" t="str">
        <f t="shared" si="6"/>
        <v>Critical Analysis: Alistair_Market Intel Report Decodes Mining Dynamics!</v>
      </c>
      <c r="M214" t="str">
        <f t="shared" si="7"/>
        <v>Alistair_2ND Follow-up on Mining Market Research Insights</v>
      </c>
    </row>
    <row r="215" spans="1:13" x14ac:dyDescent="0.25">
      <c r="A215" t="s">
        <v>153</v>
      </c>
      <c r="B215" t="s">
        <v>1420</v>
      </c>
      <c r="C215" t="s">
        <v>10</v>
      </c>
      <c r="D215" t="s">
        <v>1421</v>
      </c>
      <c r="E215" t="s">
        <v>150</v>
      </c>
      <c r="F215" t="s">
        <v>395</v>
      </c>
      <c r="G215" t="s">
        <v>1422</v>
      </c>
      <c r="H215" t="s">
        <v>196</v>
      </c>
      <c r="I215" t="s">
        <v>1</v>
      </c>
      <c r="J215" t="s">
        <v>1423</v>
      </c>
      <c r="K215" t="s">
        <v>2</v>
      </c>
      <c r="L215" t="str">
        <f t="shared" si="6"/>
        <v>Critical Analysis: John_Market Intel Report Decodes Mining Dynamics!</v>
      </c>
      <c r="M215" t="str">
        <f t="shared" si="7"/>
        <v>John_2ND Follow-up on Mining Market Research Insights</v>
      </c>
    </row>
    <row r="216" spans="1:13" x14ac:dyDescent="0.25">
      <c r="A216" t="s">
        <v>1424</v>
      </c>
      <c r="B216" t="s">
        <v>1425</v>
      </c>
      <c r="C216" t="s">
        <v>1426</v>
      </c>
      <c r="D216" t="s">
        <v>1427</v>
      </c>
      <c r="E216" t="s">
        <v>1428</v>
      </c>
      <c r="F216" t="s">
        <v>695</v>
      </c>
      <c r="G216" t="s">
        <v>1429</v>
      </c>
      <c r="H216" t="s">
        <v>196</v>
      </c>
      <c r="I216" t="s">
        <v>1430</v>
      </c>
      <c r="J216" t="s">
        <v>1431</v>
      </c>
      <c r="K216" t="s">
        <v>2</v>
      </c>
      <c r="L216" t="str">
        <f t="shared" si="6"/>
        <v>Critical Analysis: Ivonne_Market Intel Report Decodes Mining Dynamics!</v>
      </c>
      <c r="M216" t="str">
        <f t="shared" si="7"/>
        <v>Ivonne_2ND Follow-up on Mining Market Research Insights</v>
      </c>
    </row>
    <row r="217" spans="1:13" x14ac:dyDescent="0.25">
      <c r="A217" t="s">
        <v>1432</v>
      </c>
      <c r="B217" t="s">
        <v>1433</v>
      </c>
      <c r="C217" t="s">
        <v>1434</v>
      </c>
      <c r="D217" t="s">
        <v>224</v>
      </c>
      <c r="E217" t="s">
        <v>669</v>
      </c>
      <c r="F217" t="s">
        <v>226</v>
      </c>
      <c r="G217" t="s">
        <v>227</v>
      </c>
      <c r="H217" t="s">
        <v>196</v>
      </c>
      <c r="I217" t="s">
        <v>228</v>
      </c>
      <c r="J217" t="s">
        <v>1435</v>
      </c>
      <c r="K217" t="s">
        <v>2</v>
      </c>
      <c r="L217" t="str">
        <f t="shared" si="6"/>
        <v>Critical Analysis: Johannes_Market Intel Report Decodes Mining Dynamics!</v>
      </c>
      <c r="M217" t="str">
        <f t="shared" si="7"/>
        <v>Johannes_2ND Follow-up on Mining Market Research Insights</v>
      </c>
    </row>
    <row r="218" spans="1:13" x14ac:dyDescent="0.25">
      <c r="A218" t="s">
        <v>1436</v>
      </c>
      <c r="B218" t="s">
        <v>1437</v>
      </c>
      <c r="C218" t="s">
        <v>33</v>
      </c>
      <c r="D218" t="s">
        <v>1438</v>
      </c>
      <c r="E218" t="s">
        <v>1439</v>
      </c>
      <c r="F218" t="s">
        <v>1440</v>
      </c>
      <c r="G218" t="s">
        <v>1441</v>
      </c>
      <c r="H218" t="s">
        <v>196</v>
      </c>
      <c r="I218" t="s">
        <v>1442</v>
      </c>
      <c r="J218" t="s">
        <v>1443</v>
      </c>
      <c r="K218" t="s">
        <v>2</v>
      </c>
      <c r="L218" t="str">
        <f t="shared" si="6"/>
        <v>Critical Analysis: Miriam_Market Intel Report Decodes Mining Dynamics!</v>
      </c>
      <c r="M218" t="str">
        <f t="shared" si="7"/>
        <v>Miriam_2ND Follow-up on Mining Market Research Insights</v>
      </c>
    </row>
    <row r="219" spans="1:13" x14ac:dyDescent="0.25">
      <c r="A219" t="s">
        <v>1444</v>
      </c>
      <c r="B219" t="s">
        <v>1445</v>
      </c>
      <c r="C219" t="s">
        <v>597</v>
      </c>
      <c r="D219" t="s">
        <v>430</v>
      </c>
      <c r="E219" t="s">
        <v>1446</v>
      </c>
      <c r="F219" t="s">
        <v>1</v>
      </c>
      <c r="G219" t="s">
        <v>432</v>
      </c>
      <c r="H219" t="s">
        <v>1</v>
      </c>
      <c r="I219" t="s">
        <v>1</v>
      </c>
      <c r="J219" t="s">
        <v>1447</v>
      </c>
      <c r="K219" t="s">
        <v>2</v>
      </c>
      <c r="L219" t="str">
        <f t="shared" si="6"/>
        <v>Critical Analysis: Britnee_Market Intel Report Decodes Mining Dynamics!</v>
      </c>
      <c r="M219" t="str">
        <f t="shared" si="7"/>
        <v>Britnee_2ND Follow-up on Mining Market Research Insights</v>
      </c>
    </row>
    <row r="220" spans="1:13" x14ac:dyDescent="0.25">
      <c r="A220" t="s">
        <v>1448</v>
      </c>
      <c r="B220" t="s">
        <v>1449</v>
      </c>
      <c r="C220" t="s">
        <v>1450</v>
      </c>
      <c r="D220" t="s">
        <v>1451</v>
      </c>
      <c r="E220" t="s">
        <v>1298</v>
      </c>
      <c r="F220" t="s">
        <v>1</v>
      </c>
      <c r="G220" t="s">
        <v>1452</v>
      </c>
      <c r="H220" t="s">
        <v>1</v>
      </c>
      <c r="I220" t="s">
        <v>1</v>
      </c>
      <c r="J220" t="s">
        <v>1453</v>
      </c>
      <c r="K220" t="s">
        <v>2</v>
      </c>
      <c r="L220" t="str">
        <f t="shared" si="6"/>
        <v>Critical Analysis: Andy_Market Intel Report Decodes Mining Dynamics!</v>
      </c>
      <c r="M220" t="str">
        <f t="shared" si="7"/>
        <v>Andy_2ND Follow-up on Mining Market Research Insights</v>
      </c>
    </row>
    <row r="221" spans="1:13" x14ac:dyDescent="0.25">
      <c r="A221" t="s">
        <v>1454</v>
      </c>
      <c r="B221" t="s">
        <v>1455</v>
      </c>
      <c r="C221" t="s">
        <v>1456</v>
      </c>
      <c r="D221" t="s">
        <v>323</v>
      </c>
      <c r="E221" t="s">
        <v>773</v>
      </c>
      <c r="F221" t="s">
        <v>1</v>
      </c>
      <c r="G221" t="s">
        <v>326</v>
      </c>
      <c r="H221" t="s">
        <v>1</v>
      </c>
      <c r="I221" t="s">
        <v>1</v>
      </c>
      <c r="J221" t="s">
        <v>1457</v>
      </c>
      <c r="K221" t="s">
        <v>2</v>
      </c>
      <c r="L221" t="str">
        <f t="shared" si="6"/>
        <v>Critical Analysis: Ville_Market Intel Report Decodes Mining Dynamics!</v>
      </c>
      <c r="M221" t="str">
        <f t="shared" si="7"/>
        <v>Ville_2ND Follow-up on Mining Market Research Insights</v>
      </c>
    </row>
    <row r="222" spans="1:13" x14ac:dyDescent="0.25">
      <c r="A222" t="s">
        <v>153</v>
      </c>
      <c r="B222" t="s">
        <v>525</v>
      </c>
      <c r="C222" t="s">
        <v>53</v>
      </c>
      <c r="D222" t="s">
        <v>1458</v>
      </c>
      <c r="E222" t="s">
        <v>528</v>
      </c>
      <c r="F222" t="s">
        <v>1</v>
      </c>
      <c r="G222" t="s">
        <v>1459</v>
      </c>
      <c r="H222" t="s">
        <v>1</v>
      </c>
      <c r="I222" t="s">
        <v>1</v>
      </c>
      <c r="J222" t="s">
        <v>1460</v>
      </c>
      <c r="K222" t="s">
        <v>2</v>
      </c>
      <c r="L222" t="str">
        <f t="shared" si="6"/>
        <v>Critical Analysis: John_Market Intel Report Decodes Mining Dynamics!</v>
      </c>
      <c r="M222" t="str">
        <f t="shared" si="7"/>
        <v>John_2ND Follow-up on Mining Market Research Insights</v>
      </c>
    </row>
    <row r="223" spans="1:13" x14ac:dyDescent="0.25">
      <c r="A223" t="s">
        <v>191</v>
      </c>
      <c r="B223" t="s">
        <v>1461</v>
      </c>
      <c r="C223" t="s">
        <v>1462</v>
      </c>
      <c r="D223" t="s">
        <v>1463</v>
      </c>
      <c r="E223" t="s">
        <v>1464</v>
      </c>
      <c r="F223" t="s">
        <v>1</v>
      </c>
      <c r="G223" t="s">
        <v>1465</v>
      </c>
      <c r="H223" t="s">
        <v>1</v>
      </c>
      <c r="I223" t="s">
        <v>1</v>
      </c>
      <c r="J223" t="s">
        <v>1466</v>
      </c>
      <c r="K223" t="s">
        <v>2</v>
      </c>
      <c r="L223" t="str">
        <f t="shared" si="6"/>
        <v>Critical Analysis: Jakob_Market Intel Report Decodes Mining Dynamics!</v>
      </c>
      <c r="M223" t="str">
        <f t="shared" si="7"/>
        <v>Jakob_2ND Follow-up on Mining Market Research Insights</v>
      </c>
    </row>
    <row r="224" spans="1:13" x14ac:dyDescent="0.25">
      <c r="A224" t="s">
        <v>1467</v>
      </c>
      <c r="B224" t="s">
        <v>79</v>
      </c>
      <c r="C224" t="s">
        <v>113</v>
      </c>
      <c r="D224" t="s">
        <v>1468</v>
      </c>
      <c r="E224" t="s">
        <v>1469</v>
      </c>
      <c r="F224" t="s">
        <v>1</v>
      </c>
      <c r="G224" t="s">
        <v>1470</v>
      </c>
      <c r="H224" t="s">
        <v>1</v>
      </c>
      <c r="I224" t="s">
        <v>1</v>
      </c>
      <c r="J224" t="s">
        <v>1471</v>
      </c>
      <c r="K224" t="s">
        <v>2</v>
      </c>
      <c r="L224" t="str">
        <f t="shared" si="6"/>
        <v>Critical Analysis: Eric_Market Intel Report Decodes Mining Dynamics!</v>
      </c>
      <c r="M224" t="str">
        <f t="shared" si="7"/>
        <v>Eric_2ND Follow-up on Mining Market Research Insights</v>
      </c>
    </row>
    <row r="225" spans="1:13" x14ac:dyDescent="0.25">
      <c r="A225" t="s">
        <v>1051</v>
      </c>
      <c r="B225" t="s">
        <v>1472</v>
      </c>
      <c r="C225" t="s">
        <v>1473</v>
      </c>
      <c r="D225" t="s">
        <v>1474</v>
      </c>
      <c r="E225" t="s">
        <v>1475</v>
      </c>
      <c r="F225" t="s">
        <v>1</v>
      </c>
      <c r="G225" t="s">
        <v>16</v>
      </c>
      <c r="H225" t="s">
        <v>1</v>
      </c>
      <c r="I225" t="s">
        <v>1</v>
      </c>
      <c r="J225" t="s">
        <v>1476</v>
      </c>
      <c r="K225" t="s">
        <v>2</v>
      </c>
      <c r="L225" t="str">
        <f t="shared" si="6"/>
        <v>Critical Analysis: Andrea_Market Intel Report Decodes Mining Dynamics!</v>
      </c>
      <c r="M225" t="str">
        <f t="shared" si="7"/>
        <v>Andrea_2ND Follow-up on Mining Market Research Insights</v>
      </c>
    </row>
    <row r="226" spans="1:13" x14ac:dyDescent="0.25">
      <c r="A226" t="s">
        <v>1477</v>
      </c>
      <c r="B226" t="s">
        <v>1478</v>
      </c>
      <c r="C226" t="s">
        <v>53</v>
      </c>
      <c r="D226" t="s">
        <v>1479</v>
      </c>
      <c r="E226" t="s">
        <v>150</v>
      </c>
      <c r="F226" t="s">
        <v>1</v>
      </c>
      <c r="G226" t="s">
        <v>1480</v>
      </c>
      <c r="H226" t="s">
        <v>1</v>
      </c>
      <c r="I226" t="s">
        <v>1</v>
      </c>
      <c r="J226" t="s">
        <v>1481</v>
      </c>
      <c r="K226" t="s">
        <v>2</v>
      </c>
      <c r="L226" t="str">
        <f t="shared" si="6"/>
        <v>Critical Analysis: Judy_Market Intel Report Decodes Mining Dynamics!</v>
      </c>
      <c r="M226" t="str">
        <f t="shared" si="7"/>
        <v>Judy_2ND Follow-up on Mining Market Research Insights</v>
      </c>
    </row>
    <row r="227" spans="1:13" x14ac:dyDescent="0.25">
      <c r="A227" t="s">
        <v>1482</v>
      </c>
      <c r="B227" t="s">
        <v>1483</v>
      </c>
      <c r="C227" t="s">
        <v>632</v>
      </c>
      <c r="D227" t="s">
        <v>780</v>
      </c>
      <c r="E227" t="s">
        <v>1484</v>
      </c>
      <c r="F227" t="s">
        <v>1</v>
      </c>
      <c r="G227" t="s">
        <v>783</v>
      </c>
      <c r="H227" t="s">
        <v>1</v>
      </c>
      <c r="I227" t="s">
        <v>1</v>
      </c>
      <c r="J227" t="s">
        <v>1485</v>
      </c>
      <c r="K227" t="s">
        <v>2</v>
      </c>
      <c r="L227" t="str">
        <f t="shared" si="6"/>
        <v>Critical Analysis: Esther_Market Intel Report Decodes Mining Dynamics!</v>
      </c>
      <c r="M227" t="str">
        <f t="shared" si="7"/>
        <v>Esther_2ND Follow-up on Mining Market Research Insights</v>
      </c>
    </row>
    <row r="228" spans="1:13" x14ac:dyDescent="0.25">
      <c r="A228" t="s">
        <v>1486</v>
      </c>
      <c r="B228" t="s">
        <v>1487</v>
      </c>
      <c r="C228" t="s">
        <v>1488</v>
      </c>
      <c r="D228" t="s">
        <v>1489</v>
      </c>
      <c r="E228" t="s">
        <v>1490</v>
      </c>
      <c r="F228" t="s">
        <v>1</v>
      </c>
      <c r="G228" t="s">
        <v>1491</v>
      </c>
      <c r="H228" t="s">
        <v>1</v>
      </c>
      <c r="I228" t="s">
        <v>1</v>
      </c>
      <c r="J228" t="s">
        <v>1492</v>
      </c>
      <c r="K228" t="s">
        <v>2</v>
      </c>
      <c r="L228" t="str">
        <f t="shared" si="6"/>
        <v>Critical Analysis: Nikeisha_Market Intel Report Decodes Mining Dynamics!</v>
      </c>
      <c r="M228" t="str">
        <f t="shared" si="7"/>
        <v>Nikeisha_2ND Follow-up on Mining Market Research Insights</v>
      </c>
    </row>
    <row r="229" spans="1:13" x14ac:dyDescent="0.25">
      <c r="A229" t="s">
        <v>1493</v>
      </c>
      <c r="B229" t="s">
        <v>1494</v>
      </c>
      <c r="C229" t="s">
        <v>1495</v>
      </c>
      <c r="D229" t="s">
        <v>1496</v>
      </c>
      <c r="E229" t="s">
        <v>1497</v>
      </c>
      <c r="F229" t="s">
        <v>1</v>
      </c>
      <c r="G229" t="s">
        <v>1498</v>
      </c>
      <c r="H229" t="s">
        <v>1</v>
      </c>
      <c r="I229" t="s">
        <v>1</v>
      </c>
      <c r="J229" t="s">
        <v>1499</v>
      </c>
      <c r="K229" t="s">
        <v>2</v>
      </c>
      <c r="L229" t="str">
        <f t="shared" si="6"/>
        <v>Critical Analysis: Savo_Market Intel Report Decodes Mining Dynamics!</v>
      </c>
      <c r="M229" t="str">
        <f t="shared" si="7"/>
        <v>Savo_2ND Follow-up on Mining Market Research Insights</v>
      </c>
    </row>
    <row r="230" spans="1:13" x14ac:dyDescent="0.25">
      <c r="A230" t="s">
        <v>1500</v>
      </c>
      <c r="B230" t="s">
        <v>1501</v>
      </c>
      <c r="C230" t="s">
        <v>1086</v>
      </c>
      <c r="D230" t="s">
        <v>224</v>
      </c>
      <c r="E230" t="s">
        <v>1502</v>
      </c>
      <c r="F230" t="s">
        <v>1</v>
      </c>
      <c r="G230" t="s">
        <v>227</v>
      </c>
      <c r="H230" t="s">
        <v>1</v>
      </c>
      <c r="I230" t="s">
        <v>1</v>
      </c>
      <c r="J230" t="s">
        <v>1503</v>
      </c>
      <c r="K230" t="s">
        <v>2</v>
      </c>
      <c r="L230" t="str">
        <f t="shared" si="6"/>
        <v>Critical Analysis: Rishi_Market Intel Report Decodes Mining Dynamics!</v>
      </c>
      <c r="M230" t="str">
        <f t="shared" si="7"/>
        <v>Rishi_2ND Follow-up on Mining Market Research Insights</v>
      </c>
    </row>
    <row r="231" spans="1:13" x14ac:dyDescent="0.25">
      <c r="A231" t="s">
        <v>1504</v>
      </c>
      <c r="B231" t="s">
        <v>1505</v>
      </c>
      <c r="C231" t="s">
        <v>1506</v>
      </c>
      <c r="D231" t="s">
        <v>1393</v>
      </c>
      <c r="E231" t="s">
        <v>1507</v>
      </c>
      <c r="F231" t="s">
        <v>1</v>
      </c>
      <c r="G231" t="s">
        <v>1395</v>
      </c>
      <c r="H231" t="s">
        <v>1</v>
      </c>
      <c r="I231" t="s">
        <v>1</v>
      </c>
      <c r="J231" t="s">
        <v>1508</v>
      </c>
      <c r="K231" t="s">
        <v>2</v>
      </c>
      <c r="L231" t="str">
        <f t="shared" si="6"/>
        <v>Critical Analysis: Niklas_Market Intel Report Decodes Mining Dynamics!</v>
      </c>
      <c r="M231" t="str">
        <f t="shared" si="7"/>
        <v>Niklas_2ND Follow-up on Mining Market Research Insights</v>
      </c>
    </row>
    <row r="232" spans="1:13" x14ac:dyDescent="0.25">
      <c r="A232" t="s">
        <v>1509</v>
      </c>
      <c r="B232" t="s">
        <v>1510</v>
      </c>
      <c r="C232" t="s">
        <v>632</v>
      </c>
      <c r="D232" t="s">
        <v>1511</v>
      </c>
      <c r="E232" t="s">
        <v>167</v>
      </c>
      <c r="F232" t="s">
        <v>1</v>
      </c>
      <c r="G232" t="s">
        <v>16</v>
      </c>
      <c r="H232" t="s">
        <v>1</v>
      </c>
      <c r="I232" t="s">
        <v>1</v>
      </c>
      <c r="J232" t="s">
        <v>1512</v>
      </c>
      <c r="K232" t="s">
        <v>2</v>
      </c>
      <c r="L232" t="str">
        <f t="shared" si="6"/>
        <v>Critical Analysis: Liliya_Market Intel Report Decodes Mining Dynamics!</v>
      </c>
      <c r="M232" t="str">
        <f t="shared" si="7"/>
        <v>Liliya_2ND Follow-up on Mining Market Research Insights</v>
      </c>
    </row>
    <row r="233" spans="1:13" x14ac:dyDescent="0.25">
      <c r="A233" t="s">
        <v>1513</v>
      </c>
      <c r="B233" t="s">
        <v>1514</v>
      </c>
      <c r="C233" t="s">
        <v>597</v>
      </c>
      <c r="D233" t="s">
        <v>1515</v>
      </c>
      <c r="E233" t="s">
        <v>1516</v>
      </c>
      <c r="F233" t="s">
        <v>1</v>
      </c>
      <c r="G233" t="s">
        <v>1517</v>
      </c>
      <c r="H233" t="s">
        <v>1</v>
      </c>
      <c r="I233" t="s">
        <v>1</v>
      </c>
      <c r="J233" t="s">
        <v>1518</v>
      </c>
      <c r="K233" t="s">
        <v>2</v>
      </c>
      <c r="L233" t="str">
        <f t="shared" si="6"/>
        <v>Critical Analysis: Vickie_Market Intel Report Decodes Mining Dynamics!</v>
      </c>
      <c r="M233" t="str">
        <f t="shared" si="7"/>
        <v>Vickie_2ND Follow-up on Mining Market Research Insights</v>
      </c>
    </row>
    <row r="234" spans="1:13" x14ac:dyDescent="0.25">
      <c r="A234" t="s">
        <v>1519</v>
      </c>
      <c r="B234" t="s">
        <v>1520</v>
      </c>
      <c r="C234" t="s">
        <v>1521</v>
      </c>
      <c r="D234" t="s">
        <v>1522</v>
      </c>
      <c r="E234" t="s">
        <v>866</v>
      </c>
      <c r="F234" t="s">
        <v>1</v>
      </c>
      <c r="G234" t="s">
        <v>16</v>
      </c>
      <c r="H234" t="s">
        <v>1</v>
      </c>
      <c r="I234" t="s">
        <v>1</v>
      </c>
      <c r="J234" t="s">
        <v>1523</v>
      </c>
      <c r="K234" t="s">
        <v>2</v>
      </c>
      <c r="L234" t="str">
        <f t="shared" si="6"/>
        <v>Critical Analysis: Tara_Market Intel Report Decodes Mining Dynamics!</v>
      </c>
      <c r="M234" t="str">
        <f t="shared" si="7"/>
        <v>Tara_2ND Follow-up on Mining Market Research Insights</v>
      </c>
    </row>
    <row r="235" spans="1:13" x14ac:dyDescent="0.25">
      <c r="A235" t="s">
        <v>1524</v>
      </c>
      <c r="B235" t="s">
        <v>1525</v>
      </c>
      <c r="C235" t="s">
        <v>10</v>
      </c>
      <c r="D235" t="s">
        <v>1526</v>
      </c>
      <c r="E235" t="s">
        <v>574</v>
      </c>
      <c r="F235" t="s">
        <v>1</v>
      </c>
      <c r="G235" t="s">
        <v>1527</v>
      </c>
      <c r="H235" t="s">
        <v>1</v>
      </c>
      <c r="I235" t="s">
        <v>1</v>
      </c>
      <c r="J235" t="s">
        <v>1528</v>
      </c>
      <c r="K235" t="s">
        <v>2</v>
      </c>
      <c r="L235" t="str">
        <f t="shared" si="6"/>
        <v>Critical Analysis: Mason_Market Intel Report Decodes Mining Dynamics!</v>
      </c>
      <c r="M235" t="str">
        <f t="shared" si="7"/>
        <v>Mason_2ND Follow-up on Mining Market Research Insights</v>
      </c>
    </row>
    <row r="236" spans="1:13" x14ac:dyDescent="0.25">
      <c r="A236" t="s">
        <v>1529</v>
      </c>
      <c r="B236" t="s">
        <v>1530</v>
      </c>
      <c r="C236" t="s">
        <v>33</v>
      </c>
      <c r="D236" t="s">
        <v>1531</v>
      </c>
      <c r="E236" t="s">
        <v>308</v>
      </c>
      <c r="F236" t="s">
        <v>1</v>
      </c>
      <c r="G236" t="s">
        <v>1532</v>
      </c>
      <c r="H236" t="s">
        <v>1</v>
      </c>
      <c r="I236" t="s">
        <v>1</v>
      </c>
      <c r="J236" t="s">
        <v>1533</v>
      </c>
      <c r="K236" t="s">
        <v>2</v>
      </c>
      <c r="L236" t="str">
        <f t="shared" si="6"/>
        <v>Critical Analysis: Craig_Market Intel Report Decodes Mining Dynamics!</v>
      </c>
      <c r="M236" t="str">
        <f t="shared" si="7"/>
        <v>Craig_2ND Follow-up on Mining Market Research Insights</v>
      </c>
    </row>
    <row r="237" spans="1:13" x14ac:dyDescent="0.25">
      <c r="A237" t="s">
        <v>1534</v>
      </c>
      <c r="B237" t="s">
        <v>1535</v>
      </c>
      <c r="C237" t="s">
        <v>1536</v>
      </c>
      <c r="D237" t="s">
        <v>1537</v>
      </c>
      <c r="E237" t="s">
        <v>1538</v>
      </c>
      <c r="F237" t="s">
        <v>1</v>
      </c>
      <c r="G237" t="s">
        <v>1539</v>
      </c>
      <c r="H237" t="s">
        <v>1</v>
      </c>
      <c r="I237" t="s">
        <v>1</v>
      </c>
      <c r="J237" t="s">
        <v>1540</v>
      </c>
      <c r="K237" t="s">
        <v>2</v>
      </c>
      <c r="L237" t="str">
        <f t="shared" si="6"/>
        <v>Critical Analysis: Mauricio_Market Intel Report Decodes Mining Dynamics!</v>
      </c>
      <c r="M237" t="str">
        <f t="shared" si="7"/>
        <v>Mauricio_2ND Follow-up on Mining Market Research Insights</v>
      </c>
    </row>
    <row r="238" spans="1:13" x14ac:dyDescent="0.25">
      <c r="A238" t="s">
        <v>1541</v>
      </c>
      <c r="B238" t="s">
        <v>1542</v>
      </c>
      <c r="C238" t="s">
        <v>1543</v>
      </c>
      <c r="D238" t="s">
        <v>1544</v>
      </c>
      <c r="E238" t="s">
        <v>1545</v>
      </c>
      <c r="F238" t="s">
        <v>1</v>
      </c>
      <c r="G238" t="s">
        <v>1546</v>
      </c>
      <c r="H238" t="s">
        <v>1</v>
      </c>
      <c r="I238" t="s">
        <v>1</v>
      </c>
      <c r="J238" t="s">
        <v>1547</v>
      </c>
      <c r="K238" t="s">
        <v>2</v>
      </c>
      <c r="L238" t="str">
        <f t="shared" si="6"/>
        <v>Critical Analysis: Aikins_Market Intel Report Decodes Mining Dynamics!</v>
      </c>
      <c r="M238" t="str">
        <f t="shared" si="7"/>
        <v>Aikins_2ND Follow-up on Mining Market Research Insights</v>
      </c>
    </row>
    <row r="239" spans="1:13" x14ac:dyDescent="0.25">
      <c r="A239" t="s">
        <v>1548</v>
      </c>
      <c r="B239" t="s">
        <v>1549</v>
      </c>
      <c r="C239" t="s">
        <v>976</v>
      </c>
      <c r="D239" t="s">
        <v>1550</v>
      </c>
      <c r="E239" t="s">
        <v>1551</v>
      </c>
      <c r="F239" t="s">
        <v>1</v>
      </c>
      <c r="G239" t="s">
        <v>1552</v>
      </c>
      <c r="H239" t="s">
        <v>1</v>
      </c>
      <c r="I239" t="s">
        <v>1</v>
      </c>
      <c r="J239" t="s">
        <v>1553</v>
      </c>
      <c r="K239" t="s">
        <v>2</v>
      </c>
      <c r="L239" t="str">
        <f t="shared" si="6"/>
        <v>Critical Analysis: Anton_Market Intel Report Decodes Mining Dynamics!</v>
      </c>
      <c r="M239" t="str">
        <f t="shared" si="7"/>
        <v>Anton_2ND Follow-up on Mining Market Research Insights</v>
      </c>
    </row>
    <row r="240" spans="1:13" x14ac:dyDescent="0.25">
      <c r="A240" t="s">
        <v>1554</v>
      </c>
      <c r="B240" t="s">
        <v>1555</v>
      </c>
      <c r="C240" t="s">
        <v>53</v>
      </c>
      <c r="D240" t="s">
        <v>1556</v>
      </c>
      <c r="E240" t="s">
        <v>1557</v>
      </c>
      <c r="F240" t="s">
        <v>1</v>
      </c>
      <c r="G240" t="s">
        <v>16</v>
      </c>
      <c r="H240" t="s">
        <v>1</v>
      </c>
      <c r="I240" t="s">
        <v>1</v>
      </c>
      <c r="J240" t="s">
        <v>1558</v>
      </c>
      <c r="K240" t="s">
        <v>2</v>
      </c>
      <c r="L240" t="str">
        <f t="shared" si="6"/>
        <v>Critical Analysis: Claude_Market Intel Report Decodes Mining Dynamics!</v>
      </c>
      <c r="M240" t="str">
        <f t="shared" si="7"/>
        <v>Claude_2ND Follow-up on Mining Market Research Insights</v>
      </c>
    </row>
    <row r="241" spans="1:13" x14ac:dyDescent="0.25">
      <c r="A241" t="s">
        <v>1559</v>
      </c>
      <c r="B241" t="s">
        <v>1560</v>
      </c>
      <c r="C241" t="s">
        <v>1561</v>
      </c>
      <c r="D241" t="s">
        <v>1562</v>
      </c>
      <c r="E241" t="s">
        <v>1563</v>
      </c>
      <c r="F241" t="s">
        <v>262</v>
      </c>
      <c r="G241" t="s">
        <v>1564</v>
      </c>
      <c r="H241" t="s">
        <v>196</v>
      </c>
      <c r="I241" t="s">
        <v>1565</v>
      </c>
      <c r="J241" t="s">
        <v>1566</v>
      </c>
      <c r="K241" t="s">
        <v>2</v>
      </c>
      <c r="L241" t="str">
        <f t="shared" si="6"/>
        <v>Critical Analysis: Ingo_Market Intel Report Decodes Mining Dynamics!</v>
      </c>
      <c r="M241" t="str">
        <f t="shared" si="7"/>
        <v>Ingo_2ND Follow-up on Mining Market Research Insights</v>
      </c>
    </row>
    <row r="242" spans="1:13" x14ac:dyDescent="0.25">
      <c r="A242" t="s">
        <v>1567</v>
      </c>
      <c r="B242" t="s">
        <v>1568</v>
      </c>
      <c r="C242" t="s">
        <v>33</v>
      </c>
      <c r="D242" t="s">
        <v>1569</v>
      </c>
      <c r="E242" t="s">
        <v>1570</v>
      </c>
      <c r="F242" t="s">
        <v>1571</v>
      </c>
      <c r="G242" t="s">
        <v>1572</v>
      </c>
      <c r="H242" t="s">
        <v>196</v>
      </c>
      <c r="I242" t="s">
        <v>1</v>
      </c>
      <c r="J242" t="s">
        <v>1573</v>
      </c>
      <c r="K242" t="s">
        <v>2</v>
      </c>
      <c r="L242" t="str">
        <f t="shared" si="6"/>
        <v>Critical Analysis: Michele_Market Intel Report Decodes Mining Dynamics!</v>
      </c>
      <c r="M242" t="str">
        <f t="shared" si="7"/>
        <v>Michele_2ND Follow-up on Mining Market Research Insights</v>
      </c>
    </row>
    <row r="243" spans="1:13" x14ac:dyDescent="0.25">
      <c r="A243" t="s">
        <v>682</v>
      </c>
      <c r="B243" t="s">
        <v>963</v>
      </c>
      <c r="C243" t="s">
        <v>1574</v>
      </c>
      <c r="D243" t="s">
        <v>1575</v>
      </c>
      <c r="E243" t="s">
        <v>1576</v>
      </c>
      <c r="F243" t="s">
        <v>262</v>
      </c>
      <c r="G243" t="s">
        <v>16</v>
      </c>
      <c r="H243" t="s">
        <v>196</v>
      </c>
      <c r="I243" t="s">
        <v>1</v>
      </c>
      <c r="J243" t="s">
        <v>1577</v>
      </c>
      <c r="K243" t="s">
        <v>2</v>
      </c>
      <c r="L243" t="str">
        <f t="shared" si="6"/>
        <v>Critical Analysis: Hugo_Market Intel Report Decodes Mining Dynamics!</v>
      </c>
      <c r="M243" t="str">
        <f t="shared" si="7"/>
        <v>Hugo_2ND Follow-up on Mining Market Research Insights</v>
      </c>
    </row>
    <row r="244" spans="1:13" x14ac:dyDescent="0.25">
      <c r="A244" t="s">
        <v>614</v>
      </c>
      <c r="B244" t="s">
        <v>1579</v>
      </c>
      <c r="C244" t="s">
        <v>1580</v>
      </c>
      <c r="D244" t="s">
        <v>1581</v>
      </c>
      <c r="E244" t="s">
        <v>1490</v>
      </c>
      <c r="F244" t="s">
        <v>1582</v>
      </c>
      <c r="G244" t="s">
        <v>1583</v>
      </c>
      <c r="H244" t="s">
        <v>196</v>
      </c>
      <c r="I244" t="s">
        <v>1</v>
      </c>
      <c r="J244" t="s">
        <v>1584</v>
      </c>
      <c r="K244" t="s">
        <v>2</v>
      </c>
      <c r="L244" t="str">
        <f t="shared" si="6"/>
        <v>Critical Analysis: Kevin_Market Intel Report Decodes Mining Dynamics!</v>
      </c>
      <c r="M244" t="str">
        <f t="shared" si="7"/>
        <v>Kevin_2ND Follow-up on Mining Market Research Insights</v>
      </c>
    </row>
    <row r="245" spans="1:13" x14ac:dyDescent="0.25">
      <c r="A245" t="s">
        <v>905</v>
      </c>
      <c r="B245" t="s">
        <v>1585</v>
      </c>
      <c r="C245" t="s">
        <v>1586</v>
      </c>
      <c r="D245" t="s">
        <v>1587</v>
      </c>
      <c r="E245" t="s">
        <v>115</v>
      </c>
      <c r="F245" t="s">
        <v>1588</v>
      </c>
      <c r="G245" t="s">
        <v>16</v>
      </c>
      <c r="H245" t="s">
        <v>196</v>
      </c>
      <c r="I245" t="s">
        <v>1</v>
      </c>
      <c r="J245" t="s">
        <v>1589</v>
      </c>
      <c r="K245" t="s">
        <v>2</v>
      </c>
      <c r="L245" t="str">
        <f t="shared" si="6"/>
        <v>Critical Analysis: Andrew_Market Intel Report Decodes Mining Dynamics!</v>
      </c>
      <c r="M245" t="str">
        <f t="shared" si="7"/>
        <v>Andrew_2ND Follow-up on Mining Market Research Insights</v>
      </c>
    </row>
    <row r="246" spans="1:13" x14ac:dyDescent="0.25">
      <c r="A246" t="s">
        <v>1590</v>
      </c>
      <c r="B246" t="s">
        <v>1591</v>
      </c>
      <c r="C246" t="s">
        <v>26</v>
      </c>
      <c r="D246" t="s">
        <v>1592</v>
      </c>
      <c r="E246" t="s">
        <v>1593</v>
      </c>
      <c r="F246" t="s">
        <v>302</v>
      </c>
      <c r="G246" t="s">
        <v>1594</v>
      </c>
      <c r="H246" t="s">
        <v>196</v>
      </c>
      <c r="I246" t="s">
        <v>1</v>
      </c>
      <c r="J246" t="s">
        <v>1595</v>
      </c>
      <c r="K246" t="s">
        <v>2</v>
      </c>
      <c r="L246" t="str">
        <f t="shared" si="6"/>
        <v>Critical Analysis: Drew_Market Intel Report Decodes Mining Dynamics!</v>
      </c>
      <c r="M246" t="str">
        <f t="shared" si="7"/>
        <v>Drew_2ND Follow-up on Mining Market Research Insights</v>
      </c>
    </row>
    <row r="247" spans="1:13" x14ac:dyDescent="0.25">
      <c r="A247" t="s">
        <v>399</v>
      </c>
      <c r="B247" t="s">
        <v>1596</v>
      </c>
      <c r="C247" t="s">
        <v>286</v>
      </c>
      <c r="D247" t="s">
        <v>1597</v>
      </c>
      <c r="E247" t="s">
        <v>625</v>
      </c>
      <c r="F247" t="s">
        <v>211</v>
      </c>
      <c r="G247" t="s">
        <v>1598</v>
      </c>
      <c r="H247" t="s">
        <v>196</v>
      </c>
      <c r="I247" t="s">
        <v>1599</v>
      </c>
      <c r="J247" t="s">
        <v>1600</v>
      </c>
      <c r="K247" t="s">
        <v>2</v>
      </c>
      <c r="L247" t="str">
        <f t="shared" si="6"/>
        <v>Critical Analysis: David_Market Intel Report Decodes Mining Dynamics!</v>
      </c>
      <c r="M247" t="str">
        <f t="shared" si="7"/>
        <v>David_2ND Follow-up on Mining Market Research Insights</v>
      </c>
    </row>
    <row r="248" spans="1:13" x14ac:dyDescent="0.25">
      <c r="A248" t="s">
        <v>1601</v>
      </c>
      <c r="B248" t="s">
        <v>1602</v>
      </c>
      <c r="C248" t="s">
        <v>141</v>
      </c>
      <c r="D248" t="s">
        <v>1603</v>
      </c>
      <c r="E248" t="s">
        <v>516</v>
      </c>
      <c r="F248" t="s">
        <v>203</v>
      </c>
      <c r="G248" t="s">
        <v>16</v>
      </c>
      <c r="H248" t="s">
        <v>196</v>
      </c>
      <c r="I248" t="s">
        <v>1604</v>
      </c>
      <c r="J248" t="s">
        <v>1605</v>
      </c>
      <c r="K248" t="s">
        <v>2</v>
      </c>
      <c r="L248" t="str">
        <f t="shared" si="6"/>
        <v>Critical Analysis: Sue_Market Intel Report Decodes Mining Dynamics!</v>
      </c>
      <c r="M248" t="str">
        <f t="shared" si="7"/>
        <v>Sue_2ND Follow-up on Mining Market Research Insights</v>
      </c>
    </row>
    <row r="249" spans="1:13" x14ac:dyDescent="0.25">
      <c r="A249" t="s">
        <v>1606</v>
      </c>
      <c r="B249" t="s">
        <v>1607</v>
      </c>
      <c r="C249" t="s">
        <v>26</v>
      </c>
      <c r="D249" t="s">
        <v>1608</v>
      </c>
      <c r="E249" t="s">
        <v>1609</v>
      </c>
      <c r="F249" t="s">
        <v>217</v>
      </c>
      <c r="G249" t="s">
        <v>16</v>
      </c>
      <c r="H249" t="s">
        <v>196</v>
      </c>
      <c r="I249" t="s">
        <v>1</v>
      </c>
      <c r="J249" t="s">
        <v>1610</v>
      </c>
      <c r="K249" t="s">
        <v>2</v>
      </c>
      <c r="L249" t="str">
        <f t="shared" si="6"/>
        <v>Critical Analysis: Wendy_Market Intel Report Decodes Mining Dynamics!</v>
      </c>
      <c r="M249" t="str">
        <f t="shared" si="7"/>
        <v>Wendy_2ND Follow-up on Mining Market Research Insights</v>
      </c>
    </row>
    <row r="250" spans="1:13" x14ac:dyDescent="0.25">
      <c r="A250" t="s">
        <v>1611</v>
      </c>
      <c r="B250" t="s">
        <v>1612</v>
      </c>
      <c r="C250" t="s">
        <v>53</v>
      </c>
      <c r="D250" t="s">
        <v>1613</v>
      </c>
      <c r="E250" t="s">
        <v>1614</v>
      </c>
      <c r="F250" t="s">
        <v>654</v>
      </c>
      <c r="G250" t="s">
        <v>1615</v>
      </c>
      <c r="H250" t="s">
        <v>196</v>
      </c>
      <c r="I250" t="s">
        <v>1616</v>
      </c>
      <c r="J250" t="s">
        <v>1617</v>
      </c>
      <c r="K250" t="s">
        <v>2</v>
      </c>
      <c r="L250" t="str">
        <f t="shared" si="6"/>
        <v>Critical Analysis: Armco_Market Intel Report Decodes Mining Dynamics!</v>
      </c>
      <c r="M250" t="str">
        <f t="shared" si="7"/>
        <v>Armco_2ND Follow-up on Mining Market Research Insights</v>
      </c>
    </row>
    <row r="251" spans="1:13" x14ac:dyDescent="0.25">
      <c r="A251" t="s">
        <v>51</v>
      </c>
      <c r="B251" t="s">
        <v>1618</v>
      </c>
      <c r="C251" t="s">
        <v>1619</v>
      </c>
      <c r="D251" t="s">
        <v>224</v>
      </c>
      <c r="E251" t="s">
        <v>225</v>
      </c>
      <c r="F251" t="s">
        <v>226</v>
      </c>
      <c r="G251" t="s">
        <v>227</v>
      </c>
      <c r="H251" t="s">
        <v>196</v>
      </c>
      <c r="I251" t="s">
        <v>228</v>
      </c>
      <c r="J251" t="s">
        <v>1620</v>
      </c>
      <c r="K251" t="s">
        <v>2</v>
      </c>
      <c r="L251" t="str">
        <f t="shared" si="6"/>
        <v>Critical Analysis: Roman_Market Intel Report Decodes Mining Dynamics!</v>
      </c>
      <c r="M251" t="str">
        <f t="shared" si="7"/>
        <v>Roman_2ND Follow-up on Mining Market Research Insights</v>
      </c>
    </row>
    <row r="252" spans="1:13" x14ac:dyDescent="0.25">
      <c r="A252" t="s">
        <v>1621</v>
      </c>
      <c r="B252" t="s">
        <v>1622</v>
      </c>
      <c r="C252" t="s">
        <v>1623</v>
      </c>
      <c r="D252" t="s">
        <v>1624</v>
      </c>
      <c r="E252" t="s">
        <v>1625</v>
      </c>
      <c r="F252" t="s">
        <v>1626</v>
      </c>
      <c r="G252" t="s">
        <v>1627</v>
      </c>
      <c r="H252" t="s">
        <v>196</v>
      </c>
      <c r="I252" t="s">
        <v>1628</v>
      </c>
      <c r="J252" t="s">
        <v>1629</v>
      </c>
      <c r="K252" t="s">
        <v>2</v>
      </c>
      <c r="L252" t="str">
        <f t="shared" si="6"/>
        <v>Critical Analysis: Dale_Market Intel Report Decodes Mining Dynamics!</v>
      </c>
      <c r="M252" t="str">
        <f t="shared" si="7"/>
        <v>Dale_2ND Follow-up on Mining Market Research Insights</v>
      </c>
    </row>
    <row r="253" spans="1:13" x14ac:dyDescent="0.25">
      <c r="A253" t="s">
        <v>1631</v>
      </c>
      <c r="B253" t="s">
        <v>1632</v>
      </c>
      <c r="C253" t="s">
        <v>10</v>
      </c>
      <c r="D253" t="s">
        <v>1633</v>
      </c>
      <c r="E253" t="s">
        <v>129</v>
      </c>
      <c r="F253" t="s">
        <v>348</v>
      </c>
      <c r="G253" t="s">
        <v>1634</v>
      </c>
      <c r="H253" t="s">
        <v>196</v>
      </c>
      <c r="I253" t="s">
        <v>1</v>
      </c>
      <c r="J253" t="s">
        <v>1635</v>
      </c>
      <c r="K253" t="s">
        <v>2</v>
      </c>
      <c r="L253" t="str">
        <f t="shared" si="6"/>
        <v>Critical Analysis: Gordon_Market Intel Report Decodes Mining Dynamics!</v>
      </c>
      <c r="M253" t="str">
        <f t="shared" si="7"/>
        <v>Gordon_2ND Follow-up on Mining Market Research Insights</v>
      </c>
    </row>
    <row r="254" spans="1:13" x14ac:dyDescent="0.25">
      <c r="A254" t="s">
        <v>1636</v>
      </c>
      <c r="B254" t="s">
        <v>1637</v>
      </c>
      <c r="C254" t="s">
        <v>1638</v>
      </c>
      <c r="D254" t="s">
        <v>1639</v>
      </c>
      <c r="E254" t="s">
        <v>28</v>
      </c>
      <c r="F254" t="s">
        <v>1640</v>
      </c>
      <c r="G254" t="s">
        <v>1641</v>
      </c>
      <c r="H254" t="s">
        <v>196</v>
      </c>
      <c r="I254" t="s">
        <v>1642</v>
      </c>
      <c r="J254" t="s">
        <v>1643</v>
      </c>
      <c r="K254" t="s">
        <v>2</v>
      </c>
      <c r="L254" t="str">
        <f t="shared" si="6"/>
        <v>Critical Analysis: Britt_Market Intel Report Decodes Mining Dynamics!</v>
      </c>
      <c r="M254" t="str">
        <f t="shared" si="7"/>
        <v>Britt_2ND Follow-up on Mining Market Research Insights</v>
      </c>
    </row>
    <row r="255" spans="1:13" x14ac:dyDescent="0.25">
      <c r="A255" t="s">
        <v>1644</v>
      </c>
      <c r="B255" t="s">
        <v>1645</v>
      </c>
      <c r="C255" t="s">
        <v>53</v>
      </c>
      <c r="D255" t="s">
        <v>1646</v>
      </c>
      <c r="E255" t="s">
        <v>1647</v>
      </c>
      <c r="F255" t="s">
        <v>739</v>
      </c>
      <c r="G255" t="s">
        <v>16</v>
      </c>
      <c r="H255" t="s">
        <v>196</v>
      </c>
      <c r="I255" t="s">
        <v>1648</v>
      </c>
      <c r="J255" t="s">
        <v>1649</v>
      </c>
      <c r="K255" t="s">
        <v>2</v>
      </c>
      <c r="L255" t="str">
        <f t="shared" si="6"/>
        <v>Critical Analysis: Damiano_Market Intel Report Decodes Mining Dynamics!</v>
      </c>
      <c r="M255" t="str">
        <f t="shared" si="7"/>
        <v>Damiano_2ND Follow-up on Mining Market Research Insights</v>
      </c>
    </row>
    <row r="256" spans="1:13" x14ac:dyDescent="0.25">
      <c r="A256" t="s">
        <v>1260</v>
      </c>
      <c r="B256" t="s">
        <v>1650</v>
      </c>
      <c r="C256" t="s">
        <v>141</v>
      </c>
      <c r="D256" t="s">
        <v>1651</v>
      </c>
      <c r="E256" t="s">
        <v>1652</v>
      </c>
      <c r="F256" t="s">
        <v>296</v>
      </c>
      <c r="G256" t="s">
        <v>1653</v>
      </c>
      <c r="H256" t="s">
        <v>196</v>
      </c>
      <c r="I256" t="s">
        <v>1654</v>
      </c>
      <c r="J256" t="s">
        <v>1655</v>
      </c>
      <c r="K256" t="s">
        <v>2</v>
      </c>
      <c r="L256" t="str">
        <f t="shared" si="6"/>
        <v>Critical Analysis: Ed_Market Intel Report Decodes Mining Dynamics!</v>
      </c>
      <c r="M256" t="str">
        <f t="shared" si="7"/>
        <v>Ed_2ND Follow-up on Mining Market Research Insights</v>
      </c>
    </row>
    <row r="257" spans="1:13" x14ac:dyDescent="0.25">
      <c r="A257" t="s">
        <v>1656</v>
      </c>
      <c r="B257" t="s">
        <v>1657</v>
      </c>
      <c r="C257" t="s">
        <v>1658</v>
      </c>
      <c r="D257" t="s">
        <v>224</v>
      </c>
      <c r="E257" t="s">
        <v>1659</v>
      </c>
      <c r="F257" t="s">
        <v>226</v>
      </c>
      <c r="G257" t="s">
        <v>227</v>
      </c>
      <c r="H257" t="s">
        <v>196</v>
      </c>
      <c r="I257" t="s">
        <v>228</v>
      </c>
      <c r="J257" t="s">
        <v>1660</v>
      </c>
      <c r="K257" t="s">
        <v>2</v>
      </c>
      <c r="L257" t="str">
        <f t="shared" si="6"/>
        <v>Critical Analysis: Riccardo_Market Intel Report Decodes Mining Dynamics!</v>
      </c>
      <c r="M257" t="str">
        <f t="shared" si="7"/>
        <v>Riccardo_2ND Follow-up on Mining Market Research Insights</v>
      </c>
    </row>
    <row r="258" spans="1:13" x14ac:dyDescent="0.25">
      <c r="A258" t="s">
        <v>1661</v>
      </c>
      <c r="B258" t="s">
        <v>1662</v>
      </c>
      <c r="C258" t="s">
        <v>1578</v>
      </c>
      <c r="D258" t="s">
        <v>854</v>
      </c>
      <c r="E258" t="s">
        <v>686</v>
      </c>
      <c r="F258" t="s">
        <v>395</v>
      </c>
      <c r="G258" t="s">
        <v>855</v>
      </c>
      <c r="H258" t="s">
        <v>196</v>
      </c>
      <c r="I258" t="s">
        <v>1</v>
      </c>
      <c r="J258" t="s">
        <v>1663</v>
      </c>
      <c r="K258" t="s">
        <v>2</v>
      </c>
      <c r="L258" t="str">
        <f t="shared" ref="L258:L321" si="8">"Critical Analysis: "&amp;A258&amp;"_Market Intel Report Decodes "&amp;K258&amp;" Dynamics!"</f>
        <v>Critical Analysis: Alec_Market Intel Report Decodes Mining Dynamics!</v>
      </c>
      <c r="M258" t="str">
        <f t="shared" si="7"/>
        <v>Alec_2ND Follow-up on Mining Market Research Insights</v>
      </c>
    </row>
    <row r="259" spans="1:13" x14ac:dyDescent="0.25">
      <c r="A259" t="s">
        <v>536</v>
      </c>
      <c r="B259" t="s">
        <v>1664</v>
      </c>
      <c r="C259" t="s">
        <v>1665</v>
      </c>
      <c r="D259" t="s">
        <v>1666</v>
      </c>
      <c r="E259" t="s">
        <v>528</v>
      </c>
      <c r="F259" t="s">
        <v>296</v>
      </c>
      <c r="G259" t="s">
        <v>16</v>
      </c>
      <c r="H259" t="s">
        <v>196</v>
      </c>
      <c r="I259" t="s">
        <v>1667</v>
      </c>
      <c r="J259" t="s">
        <v>1668</v>
      </c>
      <c r="K259" t="s">
        <v>2</v>
      </c>
      <c r="L259" t="str">
        <f t="shared" si="8"/>
        <v>Critical Analysis: Jared_Market Intel Report Decodes Mining Dynamics!</v>
      </c>
      <c r="M259" t="str">
        <f t="shared" ref="M259:M322" si="9">A259&amp;"_2ND Follow-up on " &amp;K259&amp;" Market Research Insights"</f>
        <v>Jared_2ND Follow-up on Mining Market Research Insights</v>
      </c>
    </row>
    <row r="260" spans="1:13" x14ac:dyDescent="0.25">
      <c r="A260" t="s">
        <v>1175</v>
      </c>
      <c r="B260" t="s">
        <v>1669</v>
      </c>
      <c r="C260" t="s">
        <v>1670</v>
      </c>
      <c r="D260" t="s">
        <v>1671</v>
      </c>
      <c r="E260" t="s">
        <v>1672</v>
      </c>
      <c r="F260" t="s">
        <v>262</v>
      </c>
      <c r="G260" t="s">
        <v>16</v>
      </c>
      <c r="H260" t="s">
        <v>196</v>
      </c>
      <c r="I260" t="s">
        <v>1673</v>
      </c>
      <c r="J260" t="s">
        <v>1674</v>
      </c>
      <c r="K260" t="s">
        <v>2</v>
      </c>
      <c r="L260" t="str">
        <f t="shared" si="8"/>
        <v>Critical Analysis: Paul_Market Intel Report Decodes Mining Dynamics!</v>
      </c>
      <c r="M260" t="str">
        <f t="shared" si="9"/>
        <v>Paul_2ND Follow-up on Mining Market Research Insights</v>
      </c>
    </row>
    <row r="261" spans="1:13" x14ac:dyDescent="0.25">
      <c r="A261" t="s">
        <v>1675</v>
      </c>
      <c r="C261" t="s">
        <v>33</v>
      </c>
      <c r="D261" t="s">
        <v>1676</v>
      </c>
      <c r="E261" t="s">
        <v>1677</v>
      </c>
      <c r="F261" t="s">
        <v>211</v>
      </c>
      <c r="G261" t="s">
        <v>16</v>
      </c>
      <c r="H261" t="s">
        <v>196</v>
      </c>
      <c r="I261" t="s">
        <v>1678</v>
      </c>
      <c r="J261" t="s">
        <v>1679</v>
      </c>
      <c r="K261" t="s">
        <v>2</v>
      </c>
      <c r="L261" t="str">
        <f t="shared" si="8"/>
        <v>Critical Analysis: Sanny_Market Intel Report Decodes Mining Dynamics!</v>
      </c>
      <c r="M261" t="str">
        <f t="shared" si="9"/>
        <v>Sanny_2ND Follow-up on Mining Market Research Insights</v>
      </c>
    </row>
    <row r="262" spans="1:13" x14ac:dyDescent="0.25">
      <c r="A262" t="s">
        <v>1680</v>
      </c>
      <c r="B262" t="s">
        <v>1681</v>
      </c>
      <c r="C262" t="s">
        <v>53</v>
      </c>
      <c r="D262" t="s">
        <v>1682</v>
      </c>
      <c r="E262" t="s">
        <v>1683</v>
      </c>
      <c r="F262" t="s">
        <v>1684</v>
      </c>
      <c r="G262" t="s">
        <v>1685</v>
      </c>
      <c r="H262" t="s">
        <v>196</v>
      </c>
      <c r="I262" t="s">
        <v>1686</v>
      </c>
      <c r="J262" t="s">
        <v>1687</v>
      </c>
      <c r="K262" t="s">
        <v>2</v>
      </c>
      <c r="L262" t="str">
        <f t="shared" si="8"/>
        <v>Critical Analysis: Howard_Market Intel Report Decodes Mining Dynamics!</v>
      </c>
      <c r="M262" t="str">
        <f t="shared" si="9"/>
        <v>Howard_2ND Follow-up on Mining Market Research Insights</v>
      </c>
    </row>
    <row r="263" spans="1:13" x14ac:dyDescent="0.25">
      <c r="A263" t="s">
        <v>1688</v>
      </c>
      <c r="B263" t="s">
        <v>1689</v>
      </c>
      <c r="C263" t="s">
        <v>10</v>
      </c>
      <c r="D263" t="s">
        <v>1690</v>
      </c>
      <c r="E263" t="s">
        <v>446</v>
      </c>
      <c r="F263" t="s">
        <v>262</v>
      </c>
      <c r="G263" t="s">
        <v>1691</v>
      </c>
      <c r="H263" t="s">
        <v>196</v>
      </c>
      <c r="I263" t="s">
        <v>1692</v>
      </c>
      <c r="J263" t="s">
        <v>1693</v>
      </c>
      <c r="K263" t="s">
        <v>2</v>
      </c>
      <c r="L263" t="str">
        <f t="shared" si="8"/>
        <v>Critical Analysis: Kiran_Market Intel Report Decodes Mining Dynamics!</v>
      </c>
      <c r="M263" t="str">
        <f t="shared" si="9"/>
        <v>Kiran_2ND Follow-up on Mining Market Research Insights</v>
      </c>
    </row>
    <row r="264" spans="1:13" x14ac:dyDescent="0.25">
      <c r="A264" t="s">
        <v>1694</v>
      </c>
      <c r="B264" t="s">
        <v>1695</v>
      </c>
      <c r="C264" t="s">
        <v>1696</v>
      </c>
      <c r="D264" t="s">
        <v>1697</v>
      </c>
      <c r="E264" t="s">
        <v>574</v>
      </c>
      <c r="F264" t="s">
        <v>262</v>
      </c>
      <c r="G264" t="s">
        <v>16</v>
      </c>
      <c r="H264" t="s">
        <v>196</v>
      </c>
      <c r="I264" t="s">
        <v>1698</v>
      </c>
      <c r="J264" t="s">
        <v>1699</v>
      </c>
      <c r="K264" t="s">
        <v>2</v>
      </c>
      <c r="L264" t="str">
        <f t="shared" si="8"/>
        <v>Critical Analysis: Michael_Market Intel Report Decodes Mining Dynamics!</v>
      </c>
      <c r="M264" t="str">
        <f t="shared" si="9"/>
        <v>Michael_2ND Follow-up on Mining Market Research Insights</v>
      </c>
    </row>
    <row r="265" spans="1:13" x14ac:dyDescent="0.25">
      <c r="A265" t="s">
        <v>1700</v>
      </c>
      <c r="B265" t="s">
        <v>1701</v>
      </c>
      <c r="C265" t="s">
        <v>113</v>
      </c>
      <c r="D265" t="s">
        <v>1702</v>
      </c>
      <c r="E265" t="s">
        <v>1703</v>
      </c>
      <c r="F265" t="s">
        <v>1704</v>
      </c>
      <c r="G265" t="s">
        <v>1705</v>
      </c>
      <c r="H265" t="s">
        <v>411</v>
      </c>
      <c r="I265" t="s">
        <v>1</v>
      </c>
      <c r="J265" t="s">
        <v>1706</v>
      </c>
      <c r="K265" t="s">
        <v>2</v>
      </c>
      <c r="L265" t="str">
        <f t="shared" si="8"/>
        <v>Critical Analysis: Viktoria_Market Intel Report Decodes Mining Dynamics!</v>
      </c>
      <c r="M265" t="str">
        <f t="shared" si="9"/>
        <v>Viktoria_2ND Follow-up on Mining Market Research Insights</v>
      </c>
    </row>
    <row r="266" spans="1:13" x14ac:dyDescent="0.25">
      <c r="A266" t="s">
        <v>1707</v>
      </c>
      <c r="B266" t="s">
        <v>1708</v>
      </c>
      <c r="C266" t="s">
        <v>1709</v>
      </c>
      <c r="D266" t="s">
        <v>1297</v>
      </c>
      <c r="E266" t="s">
        <v>1710</v>
      </c>
      <c r="F266" t="s">
        <v>1299</v>
      </c>
      <c r="G266" t="s">
        <v>1300</v>
      </c>
      <c r="H266" t="s">
        <v>196</v>
      </c>
      <c r="I266" t="s">
        <v>1301</v>
      </c>
      <c r="J266" t="s">
        <v>1711</v>
      </c>
      <c r="K266" t="s">
        <v>2</v>
      </c>
      <c r="L266" t="str">
        <f t="shared" si="8"/>
        <v>Critical Analysis: Ivia_Market Intel Report Decodes Mining Dynamics!</v>
      </c>
      <c r="M266" t="str">
        <f t="shared" si="9"/>
        <v>Ivia_2ND Follow-up on Mining Market Research Insights</v>
      </c>
    </row>
    <row r="267" spans="1:13" x14ac:dyDescent="0.25">
      <c r="A267" t="s">
        <v>1712</v>
      </c>
      <c r="B267" t="s">
        <v>1713</v>
      </c>
      <c r="C267" t="s">
        <v>33</v>
      </c>
      <c r="D267" t="s">
        <v>1714</v>
      </c>
      <c r="E267" t="s">
        <v>1715</v>
      </c>
      <c r="F267" t="s">
        <v>418</v>
      </c>
      <c r="G267" t="s">
        <v>1716</v>
      </c>
      <c r="H267" t="s">
        <v>196</v>
      </c>
      <c r="I267" t="s">
        <v>1</v>
      </c>
      <c r="J267" t="s">
        <v>1717</v>
      </c>
      <c r="K267" t="s">
        <v>2</v>
      </c>
      <c r="L267" t="str">
        <f t="shared" si="8"/>
        <v>Critical Analysis: Bernard_Market Intel Report Decodes Mining Dynamics!</v>
      </c>
      <c r="M267" t="str">
        <f t="shared" si="9"/>
        <v>Bernard_2ND Follow-up on Mining Market Research Insights</v>
      </c>
    </row>
    <row r="268" spans="1:13" x14ac:dyDescent="0.25">
      <c r="A268" t="s">
        <v>1060</v>
      </c>
      <c r="B268" t="s">
        <v>1718</v>
      </c>
      <c r="C268" t="s">
        <v>1719</v>
      </c>
      <c r="D268" t="s">
        <v>1720</v>
      </c>
      <c r="E268" t="s">
        <v>446</v>
      </c>
      <c r="F268" t="s">
        <v>1080</v>
      </c>
      <c r="G268" t="s">
        <v>1721</v>
      </c>
      <c r="H268" t="s">
        <v>196</v>
      </c>
      <c r="I268" t="s">
        <v>1722</v>
      </c>
      <c r="J268" t="s">
        <v>1723</v>
      </c>
      <c r="K268" t="s">
        <v>2</v>
      </c>
      <c r="L268" t="str">
        <f t="shared" si="8"/>
        <v>Critical Analysis: Marc_Market Intel Report Decodes Mining Dynamics!</v>
      </c>
      <c r="M268" t="str">
        <f t="shared" si="9"/>
        <v>Marc_2ND Follow-up on Mining Market Research Insights</v>
      </c>
    </row>
    <row r="269" spans="1:13" x14ac:dyDescent="0.25">
      <c r="A269" t="s">
        <v>1724</v>
      </c>
      <c r="B269" t="s">
        <v>1725</v>
      </c>
      <c r="C269" t="s">
        <v>1726</v>
      </c>
      <c r="D269" t="s">
        <v>1727</v>
      </c>
      <c r="E269" t="s">
        <v>1728</v>
      </c>
      <c r="F269" t="s">
        <v>211</v>
      </c>
      <c r="G269" t="s">
        <v>1729</v>
      </c>
      <c r="H269" t="s">
        <v>196</v>
      </c>
      <c r="I269" t="s">
        <v>1730</v>
      </c>
      <c r="J269" t="s">
        <v>1731</v>
      </c>
      <c r="K269" t="s">
        <v>2</v>
      </c>
      <c r="L269" t="str">
        <f t="shared" si="8"/>
        <v>Critical Analysis: Sean_Market Intel Report Decodes Mining Dynamics!</v>
      </c>
      <c r="M269" t="str">
        <f t="shared" si="9"/>
        <v>Sean_2ND Follow-up on Mining Market Research Insights</v>
      </c>
    </row>
    <row r="270" spans="1:13" x14ac:dyDescent="0.25">
      <c r="A270" t="s">
        <v>1732</v>
      </c>
      <c r="B270" t="s">
        <v>1733</v>
      </c>
      <c r="C270" t="s">
        <v>33</v>
      </c>
      <c r="D270" t="s">
        <v>1734</v>
      </c>
      <c r="E270" t="s">
        <v>1735</v>
      </c>
      <c r="F270" t="s">
        <v>1326</v>
      </c>
      <c r="G270" t="s">
        <v>1736</v>
      </c>
      <c r="H270" t="s">
        <v>196</v>
      </c>
      <c r="I270" t="s">
        <v>1737</v>
      </c>
      <c r="J270" t="s">
        <v>1738</v>
      </c>
      <c r="K270" t="s">
        <v>2</v>
      </c>
      <c r="L270" t="str">
        <f t="shared" si="8"/>
        <v>Critical Analysis: Jason_Market Intel Report Decodes Mining Dynamics!</v>
      </c>
      <c r="M270" t="str">
        <f t="shared" si="9"/>
        <v>Jason_2ND Follow-up on Mining Market Research Insights</v>
      </c>
    </row>
    <row r="271" spans="1:13" x14ac:dyDescent="0.25">
      <c r="A271" t="s">
        <v>1694</v>
      </c>
      <c r="B271" t="s">
        <v>1739</v>
      </c>
      <c r="C271" t="s">
        <v>1740</v>
      </c>
      <c r="D271" t="s">
        <v>1741</v>
      </c>
      <c r="E271" t="s">
        <v>1742</v>
      </c>
      <c r="F271" t="s">
        <v>249</v>
      </c>
      <c r="G271" t="s">
        <v>1743</v>
      </c>
      <c r="H271" t="s">
        <v>196</v>
      </c>
      <c r="I271" t="s">
        <v>1744</v>
      </c>
      <c r="J271" t="s">
        <v>1745</v>
      </c>
      <c r="K271" t="s">
        <v>2</v>
      </c>
      <c r="L271" t="str">
        <f t="shared" si="8"/>
        <v>Critical Analysis: Michael_Market Intel Report Decodes Mining Dynamics!</v>
      </c>
      <c r="M271" t="str">
        <f t="shared" si="9"/>
        <v>Michael_2ND Follow-up on Mining Market Research Insights</v>
      </c>
    </row>
    <row r="272" spans="1:13" x14ac:dyDescent="0.25">
      <c r="A272" t="s">
        <v>1746</v>
      </c>
      <c r="B272" t="s">
        <v>1747</v>
      </c>
      <c r="C272" t="s">
        <v>1748</v>
      </c>
      <c r="D272" t="s">
        <v>1749</v>
      </c>
      <c r="E272" t="s">
        <v>625</v>
      </c>
      <c r="F272" t="s">
        <v>317</v>
      </c>
      <c r="G272" t="s">
        <v>1750</v>
      </c>
      <c r="H272" t="s">
        <v>196</v>
      </c>
      <c r="I272" t="s">
        <v>1751</v>
      </c>
      <c r="J272" t="s">
        <v>1752</v>
      </c>
      <c r="K272" t="s">
        <v>2</v>
      </c>
      <c r="L272" t="str">
        <f t="shared" si="8"/>
        <v>Critical Analysis: Brent_Market Intel Report Decodes Mining Dynamics!</v>
      </c>
      <c r="M272" t="str">
        <f t="shared" si="9"/>
        <v>Brent_2ND Follow-up on Mining Market Research Insights</v>
      </c>
    </row>
    <row r="273" spans="1:13" x14ac:dyDescent="0.25">
      <c r="A273" t="s">
        <v>1753</v>
      </c>
      <c r="B273" t="s">
        <v>1754</v>
      </c>
      <c r="C273" t="s">
        <v>1755</v>
      </c>
      <c r="D273" t="s">
        <v>1756</v>
      </c>
      <c r="E273" t="s">
        <v>1757</v>
      </c>
      <c r="F273" t="s">
        <v>237</v>
      </c>
      <c r="G273" t="s">
        <v>16</v>
      </c>
      <c r="H273" t="s">
        <v>196</v>
      </c>
      <c r="I273" t="s">
        <v>1758</v>
      </c>
      <c r="J273" t="s">
        <v>1759</v>
      </c>
      <c r="K273" t="s">
        <v>2</v>
      </c>
      <c r="L273" t="str">
        <f t="shared" si="8"/>
        <v>Critical Analysis: Pavel_Market Intel Report Decodes Mining Dynamics!</v>
      </c>
      <c r="M273" t="str">
        <f t="shared" si="9"/>
        <v>Pavel_2ND Follow-up on Mining Market Research Insights</v>
      </c>
    </row>
    <row r="274" spans="1:13" x14ac:dyDescent="0.25">
      <c r="A274" t="s">
        <v>1760</v>
      </c>
      <c r="B274" t="s">
        <v>1761</v>
      </c>
      <c r="C274" t="s">
        <v>10</v>
      </c>
      <c r="D274" t="s">
        <v>1762</v>
      </c>
      <c r="E274" t="s">
        <v>574</v>
      </c>
      <c r="F274" t="s">
        <v>348</v>
      </c>
      <c r="G274" t="s">
        <v>1763</v>
      </c>
      <c r="H274" t="s">
        <v>196</v>
      </c>
      <c r="I274" t="s">
        <v>1764</v>
      </c>
      <c r="J274" t="s">
        <v>1765</v>
      </c>
      <c r="K274" t="s">
        <v>2</v>
      </c>
      <c r="L274" t="str">
        <f t="shared" si="8"/>
        <v>Critical Analysis: Marshall_Market Intel Report Decodes Mining Dynamics!</v>
      </c>
      <c r="M274" t="str">
        <f t="shared" si="9"/>
        <v>Marshall_2ND Follow-up on Mining Market Research Insights</v>
      </c>
    </row>
    <row r="275" spans="1:13" x14ac:dyDescent="0.25">
      <c r="A275" t="s">
        <v>1766</v>
      </c>
      <c r="B275" t="s">
        <v>1767</v>
      </c>
      <c r="C275" t="s">
        <v>1768</v>
      </c>
      <c r="D275" t="s">
        <v>1769</v>
      </c>
      <c r="E275" t="s">
        <v>150</v>
      </c>
      <c r="F275" t="s">
        <v>1229</v>
      </c>
      <c r="G275" t="s">
        <v>1770</v>
      </c>
      <c r="H275" t="s">
        <v>196</v>
      </c>
      <c r="I275" t="s">
        <v>1771</v>
      </c>
      <c r="J275" t="s">
        <v>1772</v>
      </c>
      <c r="K275" t="s">
        <v>2</v>
      </c>
      <c r="L275" t="str">
        <f t="shared" si="8"/>
        <v>Critical Analysis: Jimena_Market Intel Report Decodes Mining Dynamics!</v>
      </c>
      <c r="M275" t="str">
        <f t="shared" si="9"/>
        <v>Jimena_2ND Follow-up on Mining Market Research Insights</v>
      </c>
    </row>
    <row r="276" spans="1:13" x14ac:dyDescent="0.25">
      <c r="A276" t="s">
        <v>607</v>
      </c>
      <c r="B276" t="s">
        <v>762</v>
      </c>
      <c r="C276" t="s">
        <v>1773</v>
      </c>
      <c r="D276" t="s">
        <v>1774</v>
      </c>
      <c r="E276" t="s">
        <v>1775</v>
      </c>
      <c r="F276" t="s">
        <v>232</v>
      </c>
      <c r="G276" t="s">
        <v>1776</v>
      </c>
      <c r="H276" t="s">
        <v>196</v>
      </c>
      <c r="I276" t="s">
        <v>1777</v>
      </c>
      <c r="J276" t="s">
        <v>1778</v>
      </c>
      <c r="K276" t="s">
        <v>2</v>
      </c>
      <c r="L276" t="str">
        <f t="shared" si="8"/>
        <v>Critical Analysis: Mike_Market Intel Report Decodes Mining Dynamics!</v>
      </c>
      <c r="M276" t="str">
        <f t="shared" si="9"/>
        <v>Mike_2ND Follow-up on Mining Market Research Insights</v>
      </c>
    </row>
    <row r="277" spans="1:13" x14ac:dyDescent="0.25">
      <c r="A277" t="s">
        <v>1009</v>
      </c>
      <c r="B277" t="s">
        <v>1779</v>
      </c>
      <c r="C277" t="s">
        <v>1261</v>
      </c>
      <c r="D277" t="s">
        <v>1780</v>
      </c>
      <c r="E277" t="s">
        <v>1781</v>
      </c>
      <c r="F277" t="s">
        <v>1782</v>
      </c>
      <c r="G277" t="s">
        <v>1783</v>
      </c>
      <c r="H277" t="s">
        <v>196</v>
      </c>
      <c r="I277" t="s">
        <v>1784</v>
      </c>
      <c r="J277" t="s">
        <v>1785</v>
      </c>
      <c r="K277" t="s">
        <v>2</v>
      </c>
      <c r="L277" t="str">
        <f t="shared" si="8"/>
        <v>Critical Analysis: Jeff_Market Intel Report Decodes Mining Dynamics!</v>
      </c>
      <c r="M277" t="str">
        <f t="shared" si="9"/>
        <v>Jeff_2ND Follow-up on Mining Market Research Insights</v>
      </c>
    </row>
    <row r="278" spans="1:13" x14ac:dyDescent="0.25">
      <c r="A278" t="s">
        <v>792</v>
      </c>
      <c r="B278" t="s">
        <v>622</v>
      </c>
      <c r="C278" t="s">
        <v>10</v>
      </c>
      <c r="D278" t="s">
        <v>1786</v>
      </c>
      <c r="E278" t="s">
        <v>1576</v>
      </c>
      <c r="F278" t="s">
        <v>395</v>
      </c>
      <c r="G278" t="s">
        <v>16</v>
      </c>
      <c r="H278" t="s">
        <v>196</v>
      </c>
      <c r="I278" t="s">
        <v>1</v>
      </c>
      <c r="J278" t="s">
        <v>1787</v>
      </c>
      <c r="K278" t="s">
        <v>2</v>
      </c>
      <c r="L278" t="str">
        <f t="shared" si="8"/>
        <v>Critical Analysis: Fabio_Market Intel Report Decodes Mining Dynamics!</v>
      </c>
      <c r="M278" t="str">
        <f t="shared" si="9"/>
        <v>Fabio_2ND Follow-up on Mining Market Research Insights</v>
      </c>
    </row>
    <row r="279" spans="1:13" x14ac:dyDescent="0.25">
      <c r="A279" t="s">
        <v>1788</v>
      </c>
      <c r="B279" t="s">
        <v>1789</v>
      </c>
      <c r="C279" t="s">
        <v>26</v>
      </c>
      <c r="D279" t="s">
        <v>1790</v>
      </c>
      <c r="E279" t="s">
        <v>524</v>
      </c>
      <c r="F279" t="s">
        <v>867</v>
      </c>
      <c r="G279" t="s">
        <v>16</v>
      </c>
      <c r="H279" t="s">
        <v>196</v>
      </c>
      <c r="I279" t="s">
        <v>1791</v>
      </c>
      <c r="J279" t="s">
        <v>1792</v>
      </c>
      <c r="K279" t="s">
        <v>2</v>
      </c>
      <c r="L279" t="str">
        <f t="shared" si="8"/>
        <v>Critical Analysis: Albert_Market Intel Report Decodes Mining Dynamics!</v>
      </c>
      <c r="M279" t="str">
        <f t="shared" si="9"/>
        <v>Albert_2ND Follow-up on Mining Market Research Insights</v>
      </c>
    </row>
    <row r="280" spans="1:13" x14ac:dyDescent="0.25">
      <c r="A280" t="s">
        <v>435</v>
      </c>
      <c r="B280" t="s">
        <v>1793</v>
      </c>
      <c r="C280" t="s">
        <v>113</v>
      </c>
      <c r="D280" t="s">
        <v>1794</v>
      </c>
      <c r="E280" t="s">
        <v>1795</v>
      </c>
      <c r="F280" t="s">
        <v>739</v>
      </c>
      <c r="G280" t="s">
        <v>1796</v>
      </c>
      <c r="H280" t="s">
        <v>196</v>
      </c>
      <c r="I280" t="s">
        <v>1797</v>
      </c>
      <c r="J280" t="s">
        <v>1798</v>
      </c>
      <c r="K280" t="s">
        <v>2</v>
      </c>
      <c r="L280" t="str">
        <f t="shared" si="8"/>
        <v>Critical Analysis: Robert_Market Intel Report Decodes Mining Dynamics!</v>
      </c>
      <c r="M280" t="str">
        <f t="shared" si="9"/>
        <v>Robert_2ND Follow-up on Mining Market Research Insights</v>
      </c>
    </row>
    <row r="281" spans="1:13" x14ac:dyDescent="0.25">
      <c r="A281" t="s">
        <v>870</v>
      </c>
      <c r="B281" t="s">
        <v>1799</v>
      </c>
      <c r="C281" t="s">
        <v>113</v>
      </c>
      <c r="D281" t="s">
        <v>1800</v>
      </c>
      <c r="E281" t="s">
        <v>150</v>
      </c>
      <c r="F281" t="s">
        <v>203</v>
      </c>
      <c r="G281" t="s">
        <v>1801</v>
      </c>
      <c r="H281" t="s">
        <v>196</v>
      </c>
      <c r="I281" t="s">
        <v>1802</v>
      </c>
      <c r="J281" t="s">
        <v>1803</v>
      </c>
      <c r="K281" t="s">
        <v>2</v>
      </c>
      <c r="L281" t="str">
        <f t="shared" si="8"/>
        <v>Critical Analysis: Richard_Market Intel Report Decodes Mining Dynamics!</v>
      </c>
      <c r="M281" t="str">
        <f t="shared" si="9"/>
        <v>Richard_2ND Follow-up on Mining Market Research Insights</v>
      </c>
    </row>
    <row r="282" spans="1:13" x14ac:dyDescent="0.25">
      <c r="A282" t="s">
        <v>174</v>
      </c>
      <c r="B282" t="s">
        <v>1804</v>
      </c>
      <c r="C282" t="s">
        <v>1805</v>
      </c>
      <c r="D282" t="s">
        <v>1806</v>
      </c>
      <c r="E282" t="s">
        <v>1807</v>
      </c>
      <c r="F282" t="s">
        <v>739</v>
      </c>
      <c r="G282" t="s">
        <v>1808</v>
      </c>
      <c r="H282" t="s">
        <v>196</v>
      </c>
      <c r="I282" t="s">
        <v>1809</v>
      </c>
      <c r="J282" t="s">
        <v>1810</v>
      </c>
      <c r="K282" t="s">
        <v>2</v>
      </c>
      <c r="L282" t="str">
        <f t="shared" si="8"/>
        <v>Critical Analysis: Tim_Market Intel Report Decodes Mining Dynamics!</v>
      </c>
      <c r="M282" t="str">
        <f t="shared" si="9"/>
        <v>Tim_2ND Follow-up on Mining Market Research Insights</v>
      </c>
    </row>
    <row r="283" spans="1:13" x14ac:dyDescent="0.25">
      <c r="A283" t="s">
        <v>607</v>
      </c>
      <c r="B283" t="s">
        <v>1811</v>
      </c>
      <c r="C283" t="s">
        <v>1812</v>
      </c>
      <c r="D283" t="s">
        <v>1550</v>
      </c>
      <c r="E283" t="s">
        <v>1551</v>
      </c>
      <c r="F283" t="s">
        <v>1</v>
      </c>
      <c r="G283" t="s">
        <v>1552</v>
      </c>
      <c r="H283" t="s">
        <v>1</v>
      </c>
      <c r="I283" t="s">
        <v>1</v>
      </c>
      <c r="J283" t="s">
        <v>1813</v>
      </c>
      <c r="K283" t="s">
        <v>2</v>
      </c>
      <c r="L283" t="str">
        <f t="shared" si="8"/>
        <v>Critical Analysis: Mike_Market Intel Report Decodes Mining Dynamics!</v>
      </c>
      <c r="M283" t="str">
        <f t="shared" si="9"/>
        <v>Mike_2ND Follow-up on Mining Market Research Insights</v>
      </c>
    </row>
    <row r="284" spans="1:13" x14ac:dyDescent="0.25">
      <c r="A284" t="s">
        <v>1814</v>
      </c>
      <c r="B284" t="s">
        <v>1815</v>
      </c>
      <c r="C284" t="s">
        <v>53</v>
      </c>
      <c r="D284" t="s">
        <v>1816</v>
      </c>
      <c r="E284" t="s">
        <v>1817</v>
      </c>
      <c r="F284" t="s">
        <v>1</v>
      </c>
      <c r="G284" t="s">
        <v>1818</v>
      </c>
      <c r="H284" t="s">
        <v>1</v>
      </c>
      <c r="I284" t="s">
        <v>1</v>
      </c>
      <c r="J284" t="s">
        <v>1819</v>
      </c>
      <c r="K284" t="s">
        <v>2</v>
      </c>
      <c r="L284" t="str">
        <f t="shared" si="8"/>
        <v>Critical Analysis: Chi_Market Intel Report Decodes Mining Dynamics!</v>
      </c>
      <c r="M284" t="str">
        <f t="shared" si="9"/>
        <v>Chi_2ND Follow-up on Mining Market Research Insights</v>
      </c>
    </row>
    <row r="285" spans="1:13" x14ac:dyDescent="0.25">
      <c r="A285" t="s">
        <v>1820</v>
      </c>
      <c r="B285" t="s">
        <v>1821</v>
      </c>
      <c r="C285" t="s">
        <v>141</v>
      </c>
      <c r="D285" t="s">
        <v>1822</v>
      </c>
      <c r="E285" t="s">
        <v>1823</v>
      </c>
      <c r="F285" t="s">
        <v>1</v>
      </c>
      <c r="G285" t="s">
        <v>1824</v>
      </c>
      <c r="H285" t="s">
        <v>1</v>
      </c>
      <c r="I285" t="s">
        <v>1</v>
      </c>
      <c r="J285" t="s">
        <v>1825</v>
      </c>
      <c r="K285" t="s">
        <v>2</v>
      </c>
      <c r="L285" t="str">
        <f t="shared" si="8"/>
        <v>Critical Analysis: Andree_Market Intel Report Decodes Mining Dynamics!</v>
      </c>
      <c r="M285" t="str">
        <f t="shared" si="9"/>
        <v>Andree_2ND Follow-up on Mining Market Research Insights</v>
      </c>
    </row>
    <row r="286" spans="1:13" x14ac:dyDescent="0.25">
      <c r="A286" t="s">
        <v>276</v>
      </c>
      <c r="B286" t="s">
        <v>1826</v>
      </c>
      <c r="C286" t="s">
        <v>10</v>
      </c>
      <c r="D286" t="s">
        <v>1827</v>
      </c>
      <c r="E286" t="s">
        <v>1446</v>
      </c>
      <c r="F286" t="s">
        <v>1</v>
      </c>
      <c r="G286" t="s">
        <v>1828</v>
      </c>
      <c r="H286" t="s">
        <v>1</v>
      </c>
      <c r="I286" t="s">
        <v>1</v>
      </c>
      <c r="J286" t="s">
        <v>1829</v>
      </c>
      <c r="K286" t="s">
        <v>2</v>
      </c>
      <c r="L286" t="str">
        <f t="shared" si="8"/>
        <v>Critical Analysis: Daniel_Market Intel Report Decodes Mining Dynamics!</v>
      </c>
      <c r="M286" t="str">
        <f t="shared" si="9"/>
        <v>Daniel_2ND Follow-up on Mining Market Research Insights</v>
      </c>
    </row>
    <row r="287" spans="1:13" x14ac:dyDescent="0.25">
      <c r="A287" t="s">
        <v>1009</v>
      </c>
      <c r="B287" t="s">
        <v>1779</v>
      </c>
      <c r="C287" t="s">
        <v>1830</v>
      </c>
      <c r="D287" t="s">
        <v>1831</v>
      </c>
      <c r="E287" t="s">
        <v>1832</v>
      </c>
      <c r="F287" t="s">
        <v>1</v>
      </c>
      <c r="G287" t="s">
        <v>1833</v>
      </c>
      <c r="H287" t="s">
        <v>1</v>
      </c>
      <c r="I287" t="s">
        <v>1</v>
      </c>
      <c r="J287" t="s">
        <v>1834</v>
      </c>
      <c r="K287" t="s">
        <v>2</v>
      </c>
      <c r="L287" t="str">
        <f t="shared" si="8"/>
        <v>Critical Analysis: Jeff_Market Intel Report Decodes Mining Dynamics!</v>
      </c>
      <c r="M287" t="str">
        <f t="shared" si="9"/>
        <v>Jeff_2ND Follow-up on Mining Market Research Insights</v>
      </c>
    </row>
    <row r="288" spans="1:13" x14ac:dyDescent="0.25">
      <c r="A288" t="s">
        <v>1835</v>
      </c>
      <c r="B288" t="s">
        <v>1836</v>
      </c>
      <c r="C288" t="s">
        <v>10</v>
      </c>
      <c r="D288" t="s">
        <v>1837</v>
      </c>
      <c r="E288" t="s">
        <v>1838</v>
      </c>
      <c r="F288" t="s">
        <v>1</v>
      </c>
      <c r="G288" t="s">
        <v>16</v>
      </c>
      <c r="H288" t="s">
        <v>1</v>
      </c>
      <c r="I288" t="s">
        <v>1</v>
      </c>
      <c r="J288" t="s">
        <v>1839</v>
      </c>
      <c r="K288" t="s">
        <v>2</v>
      </c>
      <c r="L288" t="str">
        <f t="shared" si="8"/>
        <v>Critical Analysis: Dmitry_Market Intel Report Decodes Mining Dynamics!</v>
      </c>
      <c r="M288" t="str">
        <f t="shared" si="9"/>
        <v>Dmitry_2ND Follow-up on Mining Market Research Insights</v>
      </c>
    </row>
    <row r="289" spans="1:13" x14ac:dyDescent="0.25">
      <c r="A289" t="s">
        <v>1840</v>
      </c>
      <c r="B289" t="s">
        <v>1841</v>
      </c>
      <c r="C289" t="s">
        <v>1842</v>
      </c>
      <c r="D289" t="s">
        <v>1843</v>
      </c>
      <c r="E289" t="s">
        <v>1844</v>
      </c>
      <c r="F289" t="s">
        <v>1</v>
      </c>
      <c r="G289" t="s">
        <v>16</v>
      </c>
      <c r="H289" t="s">
        <v>1</v>
      </c>
      <c r="I289" t="s">
        <v>1</v>
      </c>
      <c r="J289" t="s">
        <v>1845</v>
      </c>
      <c r="K289" t="s">
        <v>2</v>
      </c>
      <c r="L289" t="str">
        <f t="shared" si="8"/>
        <v>Critical Analysis: Jennette_Market Intel Report Decodes Mining Dynamics!</v>
      </c>
      <c r="M289" t="str">
        <f t="shared" si="9"/>
        <v>Jennette_2ND Follow-up on Mining Market Research Insights</v>
      </c>
    </row>
    <row r="290" spans="1:13" x14ac:dyDescent="0.25">
      <c r="A290" t="s">
        <v>1846</v>
      </c>
      <c r="B290" t="s">
        <v>1847</v>
      </c>
      <c r="C290" t="s">
        <v>1848</v>
      </c>
      <c r="D290" t="s">
        <v>1849</v>
      </c>
      <c r="E290" t="s">
        <v>15</v>
      </c>
      <c r="F290" t="s">
        <v>1</v>
      </c>
      <c r="G290" t="s">
        <v>1850</v>
      </c>
      <c r="H290" t="s">
        <v>1</v>
      </c>
      <c r="I290" t="s">
        <v>1</v>
      </c>
      <c r="J290" t="s">
        <v>1851</v>
      </c>
      <c r="K290" t="s">
        <v>2</v>
      </c>
      <c r="L290" t="str">
        <f t="shared" si="8"/>
        <v>Critical Analysis: Vedat_Market Intel Report Decodes Mining Dynamics!</v>
      </c>
      <c r="M290" t="str">
        <f t="shared" si="9"/>
        <v>Vedat_2ND Follow-up on Mining Market Research Insights</v>
      </c>
    </row>
    <row r="291" spans="1:13" x14ac:dyDescent="0.25">
      <c r="A291" t="s">
        <v>1852</v>
      </c>
      <c r="B291" t="s">
        <v>1853</v>
      </c>
      <c r="C291" t="s">
        <v>1854</v>
      </c>
      <c r="D291" t="s">
        <v>1855</v>
      </c>
      <c r="E291" t="s">
        <v>129</v>
      </c>
      <c r="F291" t="s">
        <v>1</v>
      </c>
      <c r="G291" t="s">
        <v>16</v>
      </c>
      <c r="H291" t="s">
        <v>1</v>
      </c>
      <c r="I291" t="s">
        <v>1</v>
      </c>
      <c r="J291" t="s">
        <v>1856</v>
      </c>
      <c r="K291" t="s">
        <v>2</v>
      </c>
      <c r="L291" t="str">
        <f t="shared" si="8"/>
        <v>Critical Analysis: Priscilla_Market Intel Report Decodes Mining Dynamics!</v>
      </c>
      <c r="M291" t="str">
        <f t="shared" si="9"/>
        <v>Priscilla_2ND Follow-up on Mining Market Research Insights</v>
      </c>
    </row>
    <row r="292" spans="1:13" x14ac:dyDescent="0.25">
      <c r="A292" t="s">
        <v>1857</v>
      </c>
      <c r="B292" t="s">
        <v>1858</v>
      </c>
      <c r="C292" t="s">
        <v>1859</v>
      </c>
      <c r="D292" t="s">
        <v>1860</v>
      </c>
      <c r="E292" t="s">
        <v>1861</v>
      </c>
      <c r="F292" t="s">
        <v>1</v>
      </c>
      <c r="G292" t="s">
        <v>16</v>
      </c>
      <c r="H292" t="s">
        <v>1</v>
      </c>
      <c r="I292" t="s">
        <v>1</v>
      </c>
      <c r="J292" t="s">
        <v>1862</v>
      </c>
      <c r="K292" t="s">
        <v>2</v>
      </c>
      <c r="L292" t="str">
        <f t="shared" si="8"/>
        <v>Critical Analysis: Jerson_Market Intel Report Decodes Mining Dynamics!</v>
      </c>
      <c r="M292" t="str">
        <f t="shared" si="9"/>
        <v>Jerson_2ND Follow-up on Mining Market Research Insights</v>
      </c>
    </row>
    <row r="293" spans="1:13" x14ac:dyDescent="0.25">
      <c r="A293" t="s">
        <v>1863</v>
      </c>
      <c r="B293" t="s">
        <v>1864</v>
      </c>
      <c r="C293" t="s">
        <v>1865</v>
      </c>
      <c r="D293" t="s">
        <v>1866</v>
      </c>
      <c r="E293" t="s">
        <v>653</v>
      </c>
      <c r="F293" t="s">
        <v>1</v>
      </c>
      <c r="G293" t="s">
        <v>1867</v>
      </c>
      <c r="H293" t="s">
        <v>1</v>
      </c>
      <c r="I293" t="s">
        <v>1</v>
      </c>
      <c r="J293" t="s">
        <v>1868</v>
      </c>
      <c r="K293" t="s">
        <v>2</v>
      </c>
      <c r="L293" t="str">
        <f t="shared" si="8"/>
        <v>Critical Analysis: Ekaterina_Market Intel Report Decodes Mining Dynamics!</v>
      </c>
      <c r="M293" t="str">
        <f t="shared" si="9"/>
        <v>Ekaterina_2ND Follow-up on Mining Market Research Insights</v>
      </c>
    </row>
    <row r="294" spans="1:13" x14ac:dyDescent="0.25">
      <c r="A294" t="s">
        <v>1869</v>
      </c>
      <c r="B294" t="s">
        <v>763</v>
      </c>
      <c r="C294" t="s">
        <v>33</v>
      </c>
      <c r="D294" t="s">
        <v>1870</v>
      </c>
      <c r="E294" t="s">
        <v>1871</v>
      </c>
      <c r="F294" t="s">
        <v>1</v>
      </c>
      <c r="G294" t="s">
        <v>1872</v>
      </c>
      <c r="H294" t="s">
        <v>1</v>
      </c>
      <c r="I294" t="s">
        <v>1</v>
      </c>
      <c r="J294" t="s">
        <v>1873</v>
      </c>
      <c r="K294" t="s">
        <v>2</v>
      </c>
      <c r="L294" t="str">
        <f t="shared" si="8"/>
        <v>Critical Analysis: Angela_Market Intel Report Decodes Mining Dynamics!</v>
      </c>
      <c r="M294" t="str">
        <f t="shared" si="9"/>
        <v>Angela_2ND Follow-up on Mining Market Research Insights</v>
      </c>
    </row>
    <row r="295" spans="1:13" x14ac:dyDescent="0.25">
      <c r="A295" t="s">
        <v>1874</v>
      </c>
      <c r="B295" t="s">
        <v>1875</v>
      </c>
      <c r="C295" t="s">
        <v>1876</v>
      </c>
      <c r="D295" t="s">
        <v>1877</v>
      </c>
      <c r="E295" t="s">
        <v>1878</v>
      </c>
      <c r="F295" t="s">
        <v>1</v>
      </c>
      <c r="G295" t="s">
        <v>1879</v>
      </c>
      <c r="H295" t="s">
        <v>1</v>
      </c>
      <c r="I295" t="s">
        <v>1</v>
      </c>
      <c r="J295" t="s">
        <v>1880</v>
      </c>
      <c r="K295" t="s">
        <v>2</v>
      </c>
      <c r="L295" t="str">
        <f t="shared" si="8"/>
        <v>Critical Analysis: Odilis_Market Intel Report Decodes Mining Dynamics!</v>
      </c>
      <c r="M295" t="str">
        <f t="shared" si="9"/>
        <v>Odilis_2ND Follow-up on Mining Market Research Insights</v>
      </c>
    </row>
    <row r="296" spans="1:13" x14ac:dyDescent="0.25">
      <c r="A296" t="s">
        <v>1881</v>
      </c>
      <c r="B296" t="s">
        <v>1882</v>
      </c>
      <c r="C296" t="s">
        <v>1883</v>
      </c>
      <c r="D296" t="s">
        <v>332</v>
      </c>
      <c r="E296" t="s">
        <v>1884</v>
      </c>
      <c r="F296" t="s">
        <v>1</v>
      </c>
      <c r="G296" t="s">
        <v>16</v>
      </c>
      <c r="H296" t="s">
        <v>1</v>
      </c>
      <c r="I296" t="s">
        <v>1</v>
      </c>
      <c r="J296" t="s">
        <v>1885</v>
      </c>
      <c r="K296" t="s">
        <v>2</v>
      </c>
      <c r="L296" t="str">
        <f t="shared" si="8"/>
        <v>Critical Analysis: Hans_Market Intel Report Decodes Mining Dynamics!</v>
      </c>
      <c r="M296" t="str">
        <f t="shared" si="9"/>
        <v>Hans_2ND Follow-up on Mining Market Research Insights</v>
      </c>
    </row>
    <row r="297" spans="1:13" x14ac:dyDescent="0.25">
      <c r="A297" t="s">
        <v>1886</v>
      </c>
      <c r="B297" t="s">
        <v>1887</v>
      </c>
      <c r="C297" t="s">
        <v>1888</v>
      </c>
      <c r="D297" t="s">
        <v>1026</v>
      </c>
      <c r="E297" t="s">
        <v>1027</v>
      </c>
      <c r="F297" t="s">
        <v>1</v>
      </c>
      <c r="G297" t="s">
        <v>1028</v>
      </c>
      <c r="H297" t="s">
        <v>1</v>
      </c>
      <c r="I297" t="s">
        <v>1</v>
      </c>
      <c r="J297" t="s">
        <v>1889</v>
      </c>
      <c r="K297" t="s">
        <v>2</v>
      </c>
      <c r="L297" t="str">
        <f t="shared" si="8"/>
        <v>Critical Analysis: Bjoern_Market Intel Report Decodes Mining Dynamics!</v>
      </c>
      <c r="M297" t="str">
        <f t="shared" si="9"/>
        <v>Bjoern_2ND Follow-up on Mining Market Research Insights</v>
      </c>
    </row>
    <row r="298" spans="1:13" x14ac:dyDescent="0.25">
      <c r="A298" t="s">
        <v>1890</v>
      </c>
      <c r="B298" t="s">
        <v>1596</v>
      </c>
      <c r="C298" t="s">
        <v>1891</v>
      </c>
      <c r="D298" t="s">
        <v>1892</v>
      </c>
      <c r="E298" t="s">
        <v>1893</v>
      </c>
      <c r="F298" t="s">
        <v>1</v>
      </c>
      <c r="G298" t="s">
        <v>1894</v>
      </c>
      <c r="H298" t="s">
        <v>1</v>
      </c>
      <c r="I298" t="s">
        <v>1</v>
      </c>
      <c r="J298" t="s">
        <v>1895</v>
      </c>
      <c r="K298" t="s">
        <v>2</v>
      </c>
      <c r="L298" t="str">
        <f t="shared" si="8"/>
        <v>Critical Analysis: Dani_Market Intel Report Decodes Mining Dynamics!</v>
      </c>
      <c r="M298" t="str">
        <f t="shared" si="9"/>
        <v>Dani_2ND Follow-up on Mining Market Research Insights</v>
      </c>
    </row>
    <row r="299" spans="1:13" x14ac:dyDescent="0.25">
      <c r="A299" t="s">
        <v>1896</v>
      </c>
      <c r="B299" t="s">
        <v>1897</v>
      </c>
      <c r="C299" t="s">
        <v>1898</v>
      </c>
      <c r="D299" t="s">
        <v>1489</v>
      </c>
      <c r="E299" t="s">
        <v>1899</v>
      </c>
      <c r="F299" t="s">
        <v>1</v>
      </c>
      <c r="G299" t="s">
        <v>1491</v>
      </c>
      <c r="H299" t="s">
        <v>1</v>
      </c>
      <c r="I299" t="s">
        <v>1</v>
      </c>
      <c r="J299" t="s">
        <v>1900</v>
      </c>
      <c r="K299" t="s">
        <v>2</v>
      </c>
      <c r="L299" t="str">
        <f t="shared" si="8"/>
        <v>Critical Analysis: Ken_Market Intel Report Decodes Mining Dynamics!</v>
      </c>
      <c r="M299" t="str">
        <f t="shared" si="9"/>
        <v>Ken_2ND Follow-up on Mining Market Research Insights</v>
      </c>
    </row>
    <row r="300" spans="1:13" x14ac:dyDescent="0.25">
      <c r="A300" t="s">
        <v>1901</v>
      </c>
      <c r="B300" t="s">
        <v>1902</v>
      </c>
      <c r="C300" t="s">
        <v>1903</v>
      </c>
      <c r="D300" t="s">
        <v>1463</v>
      </c>
      <c r="E300" t="s">
        <v>1904</v>
      </c>
      <c r="F300" t="s">
        <v>1</v>
      </c>
      <c r="G300" t="s">
        <v>1465</v>
      </c>
      <c r="H300" t="s">
        <v>1</v>
      </c>
      <c r="I300" t="s">
        <v>1</v>
      </c>
      <c r="J300" t="s">
        <v>1905</v>
      </c>
      <c r="K300" t="s">
        <v>2</v>
      </c>
      <c r="L300" t="str">
        <f t="shared" si="8"/>
        <v>Critical Analysis: Nebojsa_Market Intel Report Decodes Mining Dynamics!</v>
      </c>
      <c r="M300" t="str">
        <f t="shared" si="9"/>
        <v>Nebojsa_2ND Follow-up on Mining Market Research Insights</v>
      </c>
    </row>
    <row r="301" spans="1:13" x14ac:dyDescent="0.25">
      <c r="A301" t="s">
        <v>1906</v>
      </c>
      <c r="B301" t="s">
        <v>1907</v>
      </c>
      <c r="C301" t="s">
        <v>26</v>
      </c>
      <c r="D301" t="s">
        <v>224</v>
      </c>
      <c r="E301" t="s">
        <v>752</v>
      </c>
      <c r="F301" t="s">
        <v>1</v>
      </c>
      <c r="G301" t="s">
        <v>227</v>
      </c>
      <c r="H301" t="s">
        <v>1</v>
      </c>
      <c r="I301" t="s">
        <v>1</v>
      </c>
      <c r="J301" t="s">
        <v>1908</v>
      </c>
      <c r="K301" t="s">
        <v>2</v>
      </c>
      <c r="L301" t="str">
        <f t="shared" si="8"/>
        <v>Critical Analysis: Rodrigo_Market Intel Report Decodes Mining Dynamics!</v>
      </c>
      <c r="M301" t="str">
        <f t="shared" si="9"/>
        <v>Rodrigo_2ND Follow-up on Mining Market Research Insights</v>
      </c>
    </row>
    <row r="302" spans="1:13" x14ac:dyDescent="0.25">
      <c r="A302" t="s">
        <v>905</v>
      </c>
      <c r="B302" t="s">
        <v>1909</v>
      </c>
      <c r="C302" t="s">
        <v>10</v>
      </c>
      <c r="D302" t="s">
        <v>1910</v>
      </c>
      <c r="E302" t="s">
        <v>1911</v>
      </c>
      <c r="F302" t="s">
        <v>1</v>
      </c>
      <c r="G302" t="s">
        <v>16</v>
      </c>
      <c r="H302" t="s">
        <v>1</v>
      </c>
      <c r="I302" t="s">
        <v>1</v>
      </c>
      <c r="J302" t="s">
        <v>1912</v>
      </c>
      <c r="K302" t="s">
        <v>2</v>
      </c>
      <c r="L302" t="str">
        <f t="shared" si="8"/>
        <v>Critical Analysis: Andrew_Market Intel Report Decodes Mining Dynamics!</v>
      </c>
      <c r="M302" t="str">
        <f t="shared" si="9"/>
        <v>Andrew_2ND Follow-up on Mining Market Research Insights</v>
      </c>
    </row>
    <row r="303" spans="1:13" x14ac:dyDescent="0.25">
      <c r="A303" t="s">
        <v>1913</v>
      </c>
      <c r="B303" t="s">
        <v>1914</v>
      </c>
      <c r="C303" t="s">
        <v>53</v>
      </c>
      <c r="D303" t="s">
        <v>1915</v>
      </c>
      <c r="E303" t="s">
        <v>1916</v>
      </c>
      <c r="F303" t="s">
        <v>1</v>
      </c>
      <c r="G303" t="s">
        <v>1917</v>
      </c>
      <c r="H303" t="s">
        <v>1</v>
      </c>
      <c r="I303" t="s">
        <v>1</v>
      </c>
      <c r="J303" t="s">
        <v>1918</v>
      </c>
      <c r="K303" t="s">
        <v>2</v>
      </c>
      <c r="L303" t="str">
        <f t="shared" si="8"/>
        <v>Critical Analysis: Pablo_Market Intel Report Decodes Mining Dynamics!</v>
      </c>
      <c r="M303" t="str">
        <f t="shared" si="9"/>
        <v>Pablo_2ND Follow-up on Mining Market Research Insights</v>
      </c>
    </row>
    <row r="304" spans="1:13" x14ac:dyDescent="0.25">
      <c r="A304" t="s">
        <v>1919</v>
      </c>
      <c r="B304" t="s">
        <v>1920</v>
      </c>
      <c r="C304" t="s">
        <v>1921</v>
      </c>
      <c r="D304" t="s">
        <v>1922</v>
      </c>
      <c r="E304" t="s">
        <v>1923</v>
      </c>
      <c r="F304" t="s">
        <v>1</v>
      </c>
      <c r="G304" t="s">
        <v>1924</v>
      </c>
      <c r="H304" t="s">
        <v>1</v>
      </c>
      <c r="I304" t="s">
        <v>1</v>
      </c>
      <c r="J304" t="s">
        <v>1925</v>
      </c>
      <c r="K304" t="s">
        <v>2</v>
      </c>
      <c r="L304" t="str">
        <f t="shared" si="8"/>
        <v>Critical Analysis: Alfredo_Market Intel Report Decodes Mining Dynamics!</v>
      </c>
      <c r="M304" t="str">
        <f t="shared" si="9"/>
        <v>Alfredo_2ND Follow-up on Mining Market Research Insights</v>
      </c>
    </row>
    <row r="305" spans="1:13" x14ac:dyDescent="0.25">
      <c r="A305" t="s">
        <v>1926</v>
      </c>
      <c r="B305" t="s">
        <v>1927</v>
      </c>
      <c r="C305" t="s">
        <v>113</v>
      </c>
      <c r="D305" t="s">
        <v>1928</v>
      </c>
      <c r="E305" t="s">
        <v>352</v>
      </c>
      <c r="F305" t="s">
        <v>1</v>
      </c>
      <c r="G305" t="s">
        <v>1929</v>
      </c>
      <c r="H305" t="s">
        <v>1</v>
      </c>
      <c r="I305" t="s">
        <v>1</v>
      </c>
      <c r="J305" t="s">
        <v>1930</v>
      </c>
      <c r="K305" t="s">
        <v>2</v>
      </c>
      <c r="L305" t="str">
        <f t="shared" si="8"/>
        <v>Critical Analysis: Luqman_Market Intel Report Decodes Mining Dynamics!</v>
      </c>
      <c r="M305" t="str">
        <f t="shared" si="9"/>
        <v>Luqman_2ND Follow-up on Mining Market Research Insights</v>
      </c>
    </row>
    <row r="306" spans="1:13" x14ac:dyDescent="0.25">
      <c r="A306" t="s">
        <v>1931</v>
      </c>
      <c r="B306" t="s">
        <v>299</v>
      </c>
      <c r="C306" t="s">
        <v>53</v>
      </c>
      <c r="D306" t="s">
        <v>1932</v>
      </c>
      <c r="E306" t="s">
        <v>1933</v>
      </c>
      <c r="F306" t="s">
        <v>1</v>
      </c>
      <c r="G306" t="s">
        <v>1934</v>
      </c>
      <c r="H306" t="s">
        <v>1</v>
      </c>
      <c r="I306" t="s">
        <v>1</v>
      </c>
      <c r="J306" t="s">
        <v>1935</v>
      </c>
      <c r="K306" t="s">
        <v>2</v>
      </c>
      <c r="L306" t="str">
        <f t="shared" si="8"/>
        <v>Critical Analysis: Tony_Market Intel Report Decodes Mining Dynamics!</v>
      </c>
      <c r="M306" t="str">
        <f t="shared" si="9"/>
        <v>Tony_2ND Follow-up on Mining Market Research Insights</v>
      </c>
    </row>
    <row r="307" spans="1:13" x14ac:dyDescent="0.25">
      <c r="A307" t="s">
        <v>51</v>
      </c>
      <c r="B307" t="s">
        <v>1936</v>
      </c>
      <c r="C307" t="s">
        <v>1937</v>
      </c>
      <c r="D307" t="s">
        <v>1938</v>
      </c>
      <c r="E307" t="s">
        <v>1939</v>
      </c>
      <c r="F307" t="s">
        <v>1</v>
      </c>
      <c r="G307" t="s">
        <v>1940</v>
      </c>
      <c r="H307" t="s">
        <v>1</v>
      </c>
      <c r="I307" t="s">
        <v>1</v>
      </c>
      <c r="J307" t="s">
        <v>1941</v>
      </c>
      <c r="K307" t="s">
        <v>2</v>
      </c>
      <c r="L307" t="str">
        <f t="shared" si="8"/>
        <v>Critical Analysis: Roman_Market Intel Report Decodes Mining Dynamics!</v>
      </c>
      <c r="M307" t="str">
        <f t="shared" si="9"/>
        <v>Roman_2ND Follow-up on Mining Market Research Insights</v>
      </c>
    </row>
    <row r="308" spans="1:13" x14ac:dyDescent="0.25">
      <c r="A308" t="s">
        <v>1942</v>
      </c>
      <c r="B308" t="s">
        <v>1943</v>
      </c>
      <c r="C308" t="s">
        <v>597</v>
      </c>
      <c r="D308" t="s">
        <v>1944</v>
      </c>
      <c r="E308" t="s">
        <v>1945</v>
      </c>
      <c r="F308" t="s">
        <v>1</v>
      </c>
      <c r="G308" t="s">
        <v>16</v>
      </c>
      <c r="H308" t="s">
        <v>1</v>
      </c>
      <c r="I308" t="s">
        <v>1</v>
      </c>
      <c r="J308" t="s">
        <v>1946</v>
      </c>
      <c r="K308" t="s">
        <v>2</v>
      </c>
      <c r="L308" t="str">
        <f t="shared" si="8"/>
        <v>Critical Analysis: Vanessa_Market Intel Report Decodes Mining Dynamics!</v>
      </c>
      <c r="M308" t="str">
        <f t="shared" si="9"/>
        <v>Vanessa_2ND Follow-up on Mining Market Research Insights</v>
      </c>
    </row>
    <row r="309" spans="1:13" x14ac:dyDescent="0.25">
      <c r="A309" t="s">
        <v>607</v>
      </c>
      <c r="B309" t="s">
        <v>1947</v>
      </c>
      <c r="C309" t="s">
        <v>53</v>
      </c>
      <c r="D309" t="s">
        <v>1948</v>
      </c>
      <c r="E309" t="s">
        <v>1949</v>
      </c>
      <c r="F309" t="s">
        <v>1</v>
      </c>
      <c r="G309" t="s">
        <v>1950</v>
      </c>
      <c r="H309" t="s">
        <v>1</v>
      </c>
      <c r="I309" t="s">
        <v>1</v>
      </c>
      <c r="J309" t="s">
        <v>1951</v>
      </c>
      <c r="K309" t="s">
        <v>2</v>
      </c>
      <c r="L309" t="str">
        <f t="shared" si="8"/>
        <v>Critical Analysis: Mike_Market Intel Report Decodes Mining Dynamics!</v>
      </c>
      <c r="M309" t="str">
        <f t="shared" si="9"/>
        <v>Mike_2ND Follow-up on Mining Market Research Insights</v>
      </c>
    </row>
    <row r="310" spans="1:13" x14ac:dyDescent="0.25">
      <c r="A310" t="s">
        <v>1952</v>
      </c>
      <c r="B310" t="s">
        <v>1953</v>
      </c>
      <c r="C310" t="s">
        <v>113</v>
      </c>
      <c r="D310" t="s">
        <v>1954</v>
      </c>
      <c r="E310" t="s">
        <v>352</v>
      </c>
      <c r="F310" t="s">
        <v>1</v>
      </c>
      <c r="G310" t="s">
        <v>1955</v>
      </c>
      <c r="H310" t="s">
        <v>1</v>
      </c>
      <c r="I310" t="s">
        <v>1</v>
      </c>
      <c r="J310" t="s">
        <v>1956</v>
      </c>
      <c r="K310" t="s">
        <v>2</v>
      </c>
      <c r="L310" t="str">
        <f t="shared" si="8"/>
        <v>Critical Analysis: Enoch_Market Intel Report Decodes Mining Dynamics!</v>
      </c>
      <c r="M310" t="str">
        <f t="shared" si="9"/>
        <v>Enoch_2ND Follow-up on Mining Market Research Insights</v>
      </c>
    </row>
    <row r="311" spans="1:13" x14ac:dyDescent="0.25">
      <c r="A311" t="s">
        <v>1957</v>
      </c>
      <c r="B311" t="s">
        <v>1958</v>
      </c>
      <c r="C311" t="s">
        <v>113</v>
      </c>
      <c r="D311" t="s">
        <v>1959</v>
      </c>
      <c r="E311" t="s">
        <v>1960</v>
      </c>
      <c r="F311" t="s">
        <v>1</v>
      </c>
      <c r="G311" t="s">
        <v>1961</v>
      </c>
      <c r="H311" t="s">
        <v>1</v>
      </c>
      <c r="I311" t="s">
        <v>1</v>
      </c>
      <c r="J311" t="s">
        <v>1962</v>
      </c>
      <c r="K311" t="s">
        <v>2</v>
      </c>
      <c r="L311" t="str">
        <f t="shared" si="8"/>
        <v>Critical Analysis: Istvan_Market Intel Report Decodes Mining Dynamics!</v>
      </c>
      <c r="M311" t="str">
        <f t="shared" si="9"/>
        <v>Istvan_2ND Follow-up on Mining Market Research Insights</v>
      </c>
    </row>
    <row r="312" spans="1:13" x14ac:dyDescent="0.25">
      <c r="A312" t="s">
        <v>1963</v>
      </c>
      <c r="B312" t="s">
        <v>1199</v>
      </c>
      <c r="C312" t="s">
        <v>976</v>
      </c>
      <c r="D312" t="s">
        <v>1964</v>
      </c>
      <c r="E312" t="s">
        <v>1965</v>
      </c>
      <c r="F312" t="s">
        <v>1</v>
      </c>
      <c r="G312" t="s">
        <v>1966</v>
      </c>
      <c r="H312" t="s">
        <v>1</v>
      </c>
      <c r="I312" t="s">
        <v>1</v>
      </c>
      <c r="J312" t="s">
        <v>1967</v>
      </c>
      <c r="K312" t="s">
        <v>2</v>
      </c>
      <c r="L312" t="str">
        <f t="shared" si="8"/>
        <v>Critical Analysis: Scott_Market Intel Report Decodes Mining Dynamics!</v>
      </c>
      <c r="M312" t="str">
        <f t="shared" si="9"/>
        <v>Scott_2ND Follow-up on Mining Market Research Insights</v>
      </c>
    </row>
    <row r="313" spans="1:13" x14ac:dyDescent="0.25">
      <c r="A313" t="s">
        <v>1694</v>
      </c>
      <c r="B313" t="s">
        <v>1968</v>
      </c>
      <c r="C313" t="s">
        <v>10</v>
      </c>
      <c r="D313" t="s">
        <v>1969</v>
      </c>
      <c r="E313" t="s">
        <v>1735</v>
      </c>
      <c r="F313" t="s">
        <v>1</v>
      </c>
      <c r="G313" t="s">
        <v>1970</v>
      </c>
      <c r="H313" t="s">
        <v>1</v>
      </c>
      <c r="I313" t="s">
        <v>1</v>
      </c>
      <c r="J313" t="s">
        <v>1971</v>
      </c>
      <c r="K313" t="s">
        <v>2</v>
      </c>
      <c r="L313" t="str">
        <f t="shared" si="8"/>
        <v>Critical Analysis: Michael_Market Intel Report Decodes Mining Dynamics!</v>
      </c>
      <c r="M313" t="str">
        <f t="shared" si="9"/>
        <v>Michael_2ND Follow-up on Mining Market Research Insights</v>
      </c>
    </row>
    <row r="314" spans="1:13" x14ac:dyDescent="0.25">
      <c r="A314" t="s">
        <v>1972</v>
      </c>
      <c r="B314" t="s">
        <v>1973</v>
      </c>
      <c r="C314" t="s">
        <v>1974</v>
      </c>
      <c r="D314" t="s">
        <v>1975</v>
      </c>
      <c r="E314" t="s">
        <v>1976</v>
      </c>
      <c r="F314" t="s">
        <v>1</v>
      </c>
      <c r="G314" t="s">
        <v>16</v>
      </c>
      <c r="H314" t="s">
        <v>1</v>
      </c>
      <c r="I314" t="s">
        <v>1</v>
      </c>
      <c r="J314" t="s">
        <v>1977</v>
      </c>
      <c r="K314" t="s">
        <v>2</v>
      </c>
      <c r="L314" t="str">
        <f t="shared" si="8"/>
        <v>Critical Analysis: Mahmut_Market Intel Report Decodes Mining Dynamics!</v>
      </c>
      <c r="M314" t="str">
        <f t="shared" si="9"/>
        <v>Mahmut_2ND Follow-up on Mining Market Research Insights</v>
      </c>
    </row>
    <row r="315" spans="1:13" x14ac:dyDescent="0.25">
      <c r="A315" t="s">
        <v>1931</v>
      </c>
      <c r="B315" t="s">
        <v>1978</v>
      </c>
      <c r="C315" t="s">
        <v>33</v>
      </c>
      <c r="D315" t="s">
        <v>1979</v>
      </c>
      <c r="E315" t="s">
        <v>1980</v>
      </c>
      <c r="F315" t="s">
        <v>1</v>
      </c>
      <c r="G315" t="s">
        <v>1981</v>
      </c>
      <c r="H315" t="s">
        <v>1</v>
      </c>
      <c r="I315" t="s">
        <v>1</v>
      </c>
      <c r="J315" t="s">
        <v>1982</v>
      </c>
      <c r="K315" t="s">
        <v>2</v>
      </c>
      <c r="L315" t="str">
        <f t="shared" si="8"/>
        <v>Critical Analysis: Tony_Market Intel Report Decodes Mining Dynamics!</v>
      </c>
      <c r="M315" t="str">
        <f t="shared" si="9"/>
        <v>Tony_2ND Follow-up on Mining Market Research Insights</v>
      </c>
    </row>
    <row r="316" spans="1:13" x14ac:dyDescent="0.25">
      <c r="A316" t="s">
        <v>1983</v>
      </c>
      <c r="B316" t="s">
        <v>1984</v>
      </c>
      <c r="C316" t="s">
        <v>1985</v>
      </c>
      <c r="D316" t="s">
        <v>1986</v>
      </c>
      <c r="E316" t="s">
        <v>15</v>
      </c>
      <c r="F316" t="s">
        <v>1</v>
      </c>
      <c r="G316" t="s">
        <v>1987</v>
      </c>
      <c r="H316" t="s">
        <v>1</v>
      </c>
      <c r="I316" t="s">
        <v>1</v>
      </c>
      <c r="J316" t="s">
        <v>1988</v>
      </c>
      <c r="K316" t="s">
        <v>2</v>
      </c>
      <c r="L316" t="str">
        <f t="shared" si="8"/>
        <v>Critical Analysis: Florian_Market Intel Report Decodes Mining Dynamics!</v>
      </c>
      <c r="M316" t="str">
        <f t="shared" si="9"/>
        <v>Florian_2ND Follow-up on Mining Market Research Insights</v>
      </c>
    </row>
    <row r="317" spans="1:13" x14ac:dyDescent="0.25">
      <c r="A317" t="s">
        <v>1989</v>
      </c>
      <c r="B317" t="s">
        <v>1990</v>
      </c>
      <c r="C317" t="s">
        <v>1991</v>
      </c>
      <c r="D317" t="s">
        <v>1992</v>
      </c>
      <c r="E317" t="s">
        <v>15</v>
      </c>
      <c r="F317" t="s">
        <v>1</v>
      </c>
      <c r="G317" t="s">
        <v>1993</v>
      </c>
      <c r="H317" t="s">
        <v>1</v>
      </c>
      <c r="I317" t="s">
        <v>1</v>
      </c>
      <c r="J317" t="s">
        <v>1994</v>
      </c>
      <c r="K317" t="s">
        <v>2</v>
      </c>
      <c r="L317" t="str">
        <f t="shared" si="8"/>
        <v>Critical Analysis: Ronald_Market Intel Report Decodes Mining Dynamics!</v>
      </c>
      <c r="M317" t="str">
        <f t="shared" si="9"/>
        <v>Ronald_2ND Follow-up on Mining Market Research Insights</v>
      </c>
    </row>
    <row r="318" spans="1:13" x14ac:dyDescent="0.25">
      <c r="A318" t="s">
        <v>1630</v>
      </c>
      <c r="B318" t="s">
        <v>1995</v>
      </c>
      <c r="C318" t="s">
        <v>1996</v>
      </c>
      <c r="D318" t="s">
        <v>1997</v>
      </c>
      <c r="E318" t="s">
        <v>1047</v>
      </c>
      <c r="F318" t="s">
        <v>1</v>
      </c>
      <c r="G318" t="s">
        <v>1998</v>
      </c>
      <c r="H318" t="s">
        <v>1</v>
      </c>
      <c r="I318" t="s">
        <v>1</v>
      </c>
      <c r="J318" t="s">
        <v>1999</v>
      </c>
      <c r="K318" t="s">
        <v>2</v>
      </c>
      <c r="L318" t="str">
        <f t="shared" si="8"/>
        <v>Critical Analysis: Matt_Market Intel Report Decodes Mining Dynamics!</v>
      </c>
      <c r="M318" t="str">
        <f t="shared" si="9"/>
        <v>Matt_2ND Follow-up on Mining Market Research Insights</v>
      </c>
    </row>
    <row r="319" spans="1:13" x14ac:dyDescent="0.25">
      <c r="A319" t="s">
        <v>298</v>
      </c>
      <c r="B319" t="s">
        <v>2000</v>
      </c>
      <c r="C319" t="s">
        <v>53</v>
      </c>
      <c r="D319" t="s">
        <v>2001</v>
      </c>
      <c r="E319" t="s">
        <v>2002</v>
      </c>
      <c r="F319" t="s">
        <v>1</v>
      </c>
      <c r="G319" t="s">
        <v>2003</v>
      </c>
      <c r="H319" t="s">
        <v>1</v>
      </c>
      <c r="I319" t="s">
        <v>1</v>
      </c>
      <c r="J319" t="s">
        <v>2004</v>
      </c>
      <c r="K319" t="s">
        <v>2</v>
      </c>
      <c r="L319" t="str">
        <f t="shared" si="8"/>
        <v>Critical Analysis: Peter_Market Intel Report Decodes Mining Dynamics!</v>
      </c>
      <c r="M319" t="str">
        <f t="shared" si="9"/>
        <v>Peter_2ND Follow-up on Mining Market Research Insights</v>
      </c>
    </row>
    <row r="320" spans="1:13" x14ac:dyDescent="0.25">
      <c r="A320" t="s">
        <v>2005</v>
      </c>
      <c r="B320" t="s">
        <v>2006</v>
      </c>
      <c r="C320" t="s">
        <v>33</v>
      </c>
      <c r="D320" t="s">
        <v>2007</v>
      </c>
      <c r="E320" t="s">
        <v>2008</v>
      </c>
      <c r="F320" t="s">
        <v>1</v>
      </c>
      <c r="G320" t="s">
        <v>16</v>
      </c>
      <c r="H320" t="s">
        <v>1</v>
      </c>
      <c r="I320" t="s">
        <v>1</v>
      </c>
      <c r="J320" t="s">
        <v>2009</v>
      </c>
      <c r="K320" t="s">
        <v>2</v>
      </c>
      <c r="L320" t="str">
        <f t="shared" si="8"/>
        <v>Critical Analysis: Steve_Market Intel Report Decodes Mining Dynamics!</v>
      </c>
      <c r="M320" t="str">
        <f t="shared" si="9"/>
        <v>Steve_2ND Follow-up on Mining Market Research Insights</v>
      </c>
    </row>
    <row r="321" spans="1:13" x14ac:dyDescent="0.25">
      <c r="A321" t="s">
        <v>2010</v>
      </c>
      <c r="B321" t="s">
        <v>2011</v>
      </c>
      <c r="C321" t="s">
        <v>2012</v>
      </c>
      <c r="D321" t="s">
        <v>224</v>
      </c>
      <c r="E321" t="s">
        <v>669</v>
      </c>
      <c r="F321" t="s">
        <v>1</v>
      </c>
      <c r="G321" t="s">
        <v>227</v>
      </c>
      <c r="H321" t="s">
        <v>1</v>
      </c>
      <c r="I321" t="s">
        <v>1</v>
      </c>
      <c r="J321" t="s">
        <v>2013</v>
      </c>
      <c r="K321" t="s">
        <v>2</v>
      </c>
      <c r="L321" t="str">
        <f t="shared" si="8"/>
        <v>Critical Analysis: Guy_Market Intel Report Decodes Mining Dynamics!</v>
      </c>
      <c r="M321" t="str">
        <f t="shared" si="9"/>
        <v>Guy_2ND Follow-up on Mining Market Research Insights</v>
      </c>
    </row>
    <row r="322" spans="1:13" x14ac:dyDescent="0.25">
      <c r="A322" t="s">
        <v>2014</v>
      </c>
      <c r="B322" t="s">
        <v>2015</v>
      </c>
      <c r="C322" t="s">
        <v>33</v>
      </c>
      <c r="D322" t="s">
        <v>2016</v>
      </c>
      <c r="E322" t="s">
        <v>731</v>
      </c>
      <c r="F322" t="s">
        <v>1</v>
      </c>
      <c r="G322" t="s">
        <v>16</v>
      </c>
      <c r="H322" t="s">
        <v>1</v>
      </c>
      <c r="I322" t="s">
        <v>1</v>
      </c>
      <c r="J322" t="s">
        <v>2017</v>
      </c>
      <c r="K322" t="s">
        <v>2</v>
      </c>
      <c r="L322" t="str">
        <f t="shared" ref="L322:L385" si="10">"Critical Analysis: "&amp;A322&amp;"_Market Intel Report Decodes "&amp;K322&amp;" Dynamics!"</f>
        <v>Critical Analysis: Emre_Market Intel Report Decodes Mining Dynamics!</v>
      </c>
      <c r="M322" t="str">
        <f t="shared" si="9"/>
        <v>Emre_2ND Follow-up on Mining Market Research Insights</v>
      </c>
    </row>
    <row r="323" spans="1:13" x14ac:dyDescent="0.25">
      <c r="A323" t="s">
        <v>2018</v>
      </c>
      <c r="B323" t="s">
        <v>2019</v>
      </c>
      <c r="C323" t="s">
        <v>33</v>
      </c>
      <c r="D323" t="s">
        <v>813</v>
      </c>
      <c r="E323" t="s">
        <v>131</v>
      </c>
      <c r="F323" t="s">
        <v>1</v>
      </c>
      <c r="G323" t="s">
        <v>815</v>
      </c>
      <c r="H323" t="s">
        <v>1</v>
      </c>
      <c r="I323" t="s">
        <v>1</v>
      </c>
      <c r="J323" t="s">
        <v>2020</v>
      </c>
      <c r="K323" t="s">
        <v>2</v>
      </c>
      <c r="L323" t="str">
        <f t="shared" si="10"/>
        <v>Critical Analysis: Maamoun_Market Intel Report Decodes Mining Dynamics!</v>
      </c>
      <c r="M323" t="str">
        <f t="shared" ref="M323:M359" si="11">A323&amp;"_2ND Follow-up on " &amp;K323&amp;" Market Research Insights"</f>
        <v>Maamoun_2ND Follow-up on Mining Market Research Insights</v>
      </c>
    </row>
    <row r="324" spans="1:13" x14ac:dyDescent="0.25">
      <c r="A324" t="s">
        <v>2021</v>
      </c>
      <c r="B324" t="s">
        <v>126</v>
      </c>
      <c r="C324" t="s">
        <v>33</v>
      </c>
      <c r="D324" t="s">
        <v>2022</v>
      </c>
      <c r="E324" t="s">
        <v>2023</v>
      </c>
      <c r="F324" t="s">
        <v>1</v>
      </c>
      <c r="G324" t="s">
        <v>2024</v>
      </c>
      <c r="H324" t="s">
        <v>1</v>
      </c>
      <c r="I324" t="s">
        <v>1</v>
      </c>
      <c r="J324" t="s">
        <v>2025</v>
      </c>
      <c r="K324" t="s">
        <v>2</v>
      </c>
      <c r="L324" t="str">
        <f t="shared" si="10"/>
        <v>Critical Analysis: Miya_Market Intel Report Decodes Mining Dynamics!</v>
      </c>
      <c r="M324" t="str">
        <f t="shared" si="11"/>
        <v>Miya_2ND Follow-up on Mining Market Research Insights</v>
      </c>
    </row>
    <row r="325" spans="1:13" x14ac:dyDescent="0.25">
      <c r="A325" t="s">
        <v>1694</v>
      </c>
      <c r="B325" t="s">
        <v>2026</v>
      </c>
      <c r="C325" t="s">
        <v>2027</v>
      </c>
      <c r="D325" t="s">
        <v>2028</v>
      </c>
      <c r="E325" t="s">
        <v>2029</v>
      </c>
      <c r="F325" t="s">
        <v>1</v>
      </c>
      <c r="G325" t="s">
        <v>2030</v>
      </c>
      <c r="H325" t="s">
        <v>1</v>
      </c>
      <c r="I325" t="s">
        <v>1</v>
      </c>
      <c r="J325" t="s">
        <v>2031</v>
      </c>
      <c r="K325" t="s">
        <v>2</v>
      </c>
      <c r="L325" t="str">
        <f t="shared" si="10"/>
        <v>Critical Analysis: Michael_Market Intel Report Decodes Mining Dynamics!</v>
      </c>
      <c r="M325" t="str">
        <f t="shared" si="11"/>
        <v>Michael_2ND Follow-up on Mining Market Research Insights</v>
      </c>
    </row>
    <row r="326" spans="1:13" x14ac:dyDescent="0.25">
      <c r="A326" t="s">
        <v>1694</v>
      </c>
      <c r="B326" t="s">
        <v>2032</v>
      </c>
      <c r="C326" t="s">
        <v>597</v>
      </c>
      <c r="D326" t="s">
        <v>2033</v>
      </c>
      <c r="E326" t="s">
        <v>2034</v>
      </c>
      <c r="F326" t="s">
        <v>1</v>
      </c>
      <c r="G326" t="s">
        <v>2035</v>
      </c>
      <c r="H326" t="s">
        <v>1</v>
      </c>
      <c r="I326" t="s">
        <v>1</v>
      </c>
      <c r="J326" t="s">
        <v>2036</v>
      </c>
      <c r="K326" t="s">
        <v>2</v>
      </c>
      <c r="L326" t="str">
        <f t="shared" si="10"/>
        <v>Critical Analysis: Michael_Market Intel Report Decodes Mining Dynamics!</v>
      </c>
      <c r="M326" t="str">
        <f t="shared" si="11"/>
        <v>Michael_2ND Follow-up on Mining Market Research Insights</v>
      </c>
    </row>
    <row r="327" spans="1:13" x14ac:dyDescent="0.25">
      <c r="A327" t="s">
        <v>2037</v>
      </c>
      <c r="B327" t="s">
        <v>2038</v>
      </c>
      <c r="C327" t="s">
        <v>10</v>
      </c>
      <c r="D327" t="s">
        <v>2039</v>
      </c>
      <c r="E327" t="s">
        <v>2040</v>
      </c>
      <c r="F327" t="s">
        <v>1</v>
      </c>
      <c r="G327" t="s">
        <v>2041</v>
      </c>
      <c r="H327" t="s">
        <v>1</v>
      </c>
      <c r="I327" t="s">
        <v>1</v>
      </c>
      <c r="J327" t="s">
        <v>2042</v>
      </c>
      <c r="K327" t="s">
        <v>2</v>
      </c>
      <c r="L327" t="str">
        <f t="shared" si="10"/>
        <v>Critical Analysis: Tali_Market Intel Report Decodes Mining Dynamics!</v>
      </c>
      <c r="M327" t="str">
        <f t="shared" si="11"/>
        <v>Tali_2ND Follow-up on Mining Market Research Insights</v>
      </c>
    </row>
    <row r="328" spans="1:13" x14ac:dyDescent="0.25">
      <c r="A328" t="s">
        <v>1051</v>
      </c>
      <c r="B328" t="s">
        <v>2043</v>
      </c>
      <c r="C328" t="s">
        <v>53</v>
      </c>
      <c r="D328" t="s">
        <v>2044</v>
      </c>
      <c r="E328" t="s">
        <v>2045</v>
      </c>
      <c r="F328" t="s">
        <v>1</v>
      </c>
      <c r="G328" t="s">
        <v>2046</v>
      </c>
      <c r="H328" t="s">
        <v>1</v>
      </c>
      <c r="I328" t="s">
        <v>1</v>
      </c>
      <c r="J328" t="s">
        <v>2047</v>
      </c>
      <c r="K328" t="s">
        <v>2</v>
      </c>
      <c r="L328" t="str">
        <f t="shared" si="10"/>
        <v>Critical Analysis: Andrea_Market Intel Report Decodes Mining Dynamics!</v>
      </c>
      <c r="M328" t="str">
        <f t="shared" si="11"/>
        <v>Andrea_2ND Follow-up on Mining Market Research Insights</v>
      </c>
    </row>
    <row r="329" spans="1:13" x14ac:dyDescent="0.25">
      <c r="A329" t="s">
        <v>2048</v>
      </c>
      <c r="B329" t="s">
        <v>2049</v>
      </c>
      <c r="C329" t="s">
        <v>2050</v>
      </c>
      <c r="D329" t="s">
        <v>2051</v>
      </c>
      <c r="E329" t="s">
        <v>150</v>
      </c>
      <c r="F329" t="s">
        <v>1</v>
      </c>
      <c r="G329" t="s">
        <v>2052</v>
      </c>
      <c r="H329" t="s">
        <v>1</v>
      </c>
      <c r="I329" t="s">
        <v>1</v>
      </c>
      <c r="J329" t="s">
        <v>2053</v>
      </c>
      <c r="K329" t="s">
        <v>2</v>
      </c>
      <c r="L329" t="str">
        <f t="shared" si="10"/>
        <v>Critical Analysis: Fitz_Market Intel Report Decodes Mining Dynamics!</v>
      </c>
      <c r="M329" t="str">
        <f t="shared" si="11"/>
        <v>Fitz_2ND Follow-up on Mining Market Research Insights</v>
      </c>
    </row>
    <row r="330" spans="1:13" x14ac:dyDescent="0.25">
      <c r="A330" t="s">
        <v>2054</v>
      </c>
      <c r="B330" t="s">
        <v>2055</v>
      </c>
      <c r="C330" t="s">
        <v>33</v>
      </c>
      <c r="D330" t="s">
        <v>2056</v>
      </c>
      <c r="E330" t="s">
        <v>308</v>
      </c>
      <c r="F330" t="s">
        <v>1</v>
      </c>
      <c r="G330" t="s">
        <v>2057</v>
      </c>
      <c r="H330" t="s">
        <v>1</v>
      </c>
      <c r="I330" t="s">
        <v>1</v>
      </c>
      <c r="J330" t="s">
        <v>2058</v>
      </c>
      <c r="K330" t="s">
        <v>2</v>
      </c>
      <c r="L330" t="str">
        <f t="shared" si="10"/>
        <v>Critical Analysis: Arthur_Market Intel Report Decodes Mining Dynamics!</v>
      </c>
      <c r="M330" t="str">
        <f t="shared" si="11"/>
        <v>Arthur_2ND Follow-up on Mining Market Research Insights</v>
      </c>
    </row>
    <row r="331" spans="1:13" x14ac:dyDescent="0.25">
      <c r="A331" t="s">
        <v>2059</v>
      </c>
      <c r="B331" t="s">
        <v>2060</v>
      </c>
      <c r="C331" t="s">
        <v>2061</v>
      </c>
      <c r="D331" t="s">
        <v>2062</v>
      </c>
      <c r="E331" t="s">
        <v>2063</v>
      </c>
      <c r="F331" t="s">
        <v>1</v>
      </c>
      <c r="G331" t="s">
        <v>2064</v>
      </c>
      <c r="H331" t="s">
        <v>1</v>
      </c>
      <c r="I331" t="s">
        <v>1</v>
      </c>
      <c r="J331" t="s">
        <v>2065</v>
      </c>
      <c r="K331" t="s">
        <v>2</v>
      </c>
      <c r="L331" t="str">
        <f t="shared" si="10"/>
        <v>Critical Analysis: Dwayne_Market Intel Report Decodes Mining Dynamics!</v>
      </c>
      <c r="M331" t="str">
        <f t="shared" si="11"/>
        <v>Dwayne_2ND Follow-up on Mining Market Research Insights</v>
      </c>
    </row>
    <row r="332" spans="1:13" x14ac:dyDescent="0.25">
      <c r="A332" t="s">
        <v>2066</v>
      </c>
      <c r="B332" t="s">
        <v>243</v>
      </c>
      <c r="C332" t="s">
        <v>2067</v>
      </c>
      <c r="D332" t="s">
        <v>624</v>
      </c>
      <c r="E332" t="s">
        <v>2068</v>
      </c>
      <c r="F332" t="s">
        <v>1</v>
      </c>
      <c r="G332" t="s">
        <v>627</v>
      </c>
      <c r="H332" t="s">
        <v>1</v>
      </c>
      <c r="I332" t="s">
        <v>1</v>
      </c>
      <c r="J332" t="s">
        <v>2069</v>
      </c>
      <c r="K332" t="s">
        <v>2</v>
      </c>
      <c r="L332" t="str">
        <f t="shared" si="10"/>
        <v>Critical Analysis: Holly_Market Intel Report Decodes Mining Dynamics!</v>
      </c>
      <c r="M332" t="str">
        <f t="shared" si="11"/>
        <v>Holly_2ND Follow-up on Mining Market Research Insights</v>
      </c>
    </row>
    <row r="333" spans="1:13" x14ac:dyDescent="0.25">
      <c r="A333" t="s">
        <v>2070</v>
      </c>
      <c r="B333" t="s">
        <v>2071</v>
      </c>
      <c r="C333" t="s">
        <v>141</v>
      </c>
      <c r="D333" t="s">
        <v>2072</v>
      </c>
      <c r="E333" t="s">
        <v>1823</v>
      </c>
      <c r="F333" t="s">
        <v>1</v>
      </c>
      <c r="G333" t="s">
        <v>2073</v>
      </c>
      <c r="H333" t="s">
        <v>1</v>
      </c>
      <c r="I333" t="s">
        <v>1</v>
      </c>
      <c r="J333" t="s">
        <v>2074</v>
      </c>
      <c r="K333" t="s">
        <v>2</v>
      </c>
      <c r="L333" t="str">
        <f t="shared" si="10"/>
        <v>Critical Analysis: Cheryl_Market Intel Report Decodes Mining Dynamics!</v>
      </c>
      <c r="M333" t="str">
        <f t="shared" si="11"/>
        <v>Cheryl_2ND Follow-up on Mining Market Research Insights</v>
      </c>
    </row>
    <row r="334" spans="1:13" x14ac:dyDescent="0.25">
      <c r="A334" t="s">
        <v>250</v>
      </c>
      <c r="B334" t="s">
        <v>2075</v>
      </c>
      <c r="C334" t="s">
        <v>33</v>
      </c>
      <c r="D334" t="s">
        <v>2076</v>
      </c>
      <c r="E334" t="s">
        <v>15</v>
      </c>
      <c r="F334" t="s">
        <v>1</v>
      </c>
      <c r="G334" t="s">
        <v>2077</v>
      </c>
      <c r="H334" t="s">
        <v>1</v>
      </c>
      <c r="I334" t="s">
        <v>1</v>
      </c>
      <c r="J334" t="s">
        <v>2078</v>
      </c>
      <c r="K334" t="s">
        <v>2</v>
      </c>
      <c r="L334" t="str">
        <f t="shared" si="10"/>
        <v>Critical Analysis: Steven_Market Intel Report Decodes Mining Dynamics!</v>
      </c>
      <c r="M334" t="str">
        <f t="shared" si="11"/>
        <v>Steven_2ND Follow-up on Mining Market Research Insights</v>
      </c>
    </row>
    <row r="335" spans="1:13" x14ac:dyDescent="0.25">
      <c r="A335" t="s">
        <v>762</v>
      </c>
      <c r="B335" t="s">
        <v>763</v>
      </c>
      <c r="C335" t="s">
        <v>2079</v>
      </c>
      <c r="D335" t="s">
        <v>2080</v>
      </c>
      <c r="E335" t="s">
        <v>2081</v>
      </c>
      <c r="F335" t="s">
        <v>1</v>
      </c>
      <c r="G335" t="s">
        <v>2082</v>
      </c>
      <c r="H335" t="s">
        <v>1</v>
      </c>
      <c r="I335" t="s">
        <v>1</v>
      </c>
      <c r="J335" t="s">
        <v>2083</v>
      </c>
      <c r="K335" t="s">
        <v>2</v>
      </c>
      <c r="L335" t="str">
        <f t="shared" si="10"/>
        <v>Critical Analysis: Bruce_Market Intel Report Decodes Mining Dynamics!</v>
      </c>
      <c r="M335" t="str">
        <f t="shared" si="11"/>
        <v>Bruce_2ND Follow-up on Mining Market Research Insights</v>
      </c>
    </row>
    <row r="336" spans="1:13" x14ac:dyDescent="0.25">
      <c r="A336" t="s">
        <v>2084</v>
      </c>
      <c r="B336" t="s">
        <v>2085</v>
      </c>
      <c r="C336" t="s">
        <v>2086</v>
      </c>
      <c r="D336" t="s">
        <v>1489</v>
      </c>
      <c r="E336" t="s">
        <v>2087</v>
      </c>
      <c r="F336" t="s">
        <v>1</v>
      </c>
      <c r="G336" t="s">
        <v>1491</v>
      </c>
      <c r="H336" t="s">
        <v>1</v>
      </c>
      <c r="I336" t="s">
        <v>1</v>
      </c>
      <c r="J336" t="s">
        <v>2088</v>
      </c>
      <c r="K336" t="s">
        <v>2</v>
      </c>
      <c r="L336" t="str">
        <f t="shared" si="10"/>
        <v>Critical Analysis: Caroline_Market Intel Report Decodes Mining Dynamics!</v>
      </c>
      <c r="M336" t="str">
        <f t="shared" si="11"/>
        <v>Caroline_2ND Follow-up on Mining Market Research Insights</v>
      </c>
    </row>
    <row r="337" spans="1:13" x14ac:dyDescent="0.25">
      <c r="A337" t="s">
        <v>2089</v>
      </c>
      <c r="B337" t="s">
        <v>2090</v>
      </c>
      <c r="C337" t="s">
        <v>2091</v>
      </c>
      <c r="D337" t="s">
        <v>2092</v>
      </c>
      <c r="E337" t="s">
        <v>15</v>
      </c>
      <c r="F337" t="s">
        <v>1</v>
      </c>
      <c r="G337" t="s">
        <v>16</v>
      </c>
      <c r="H337" t="s">
        <v>1</v>
      </c>
      <c r="I337" t="s">
        <v>1</v>
      </c>
      <c r="J337" t="s">
        <v>2093</v>
      </c>
      <c r="K337" t="s">
        <v>2</v>
      </c>
      <c r="L337" t="str">
        <f t="shared" si="10"/>
        <v>Critical Analysis: Clive_Market Intel Report Decodes Mining Dynamics!</v>
      </c>
      <c r="M337" t="str">
        <f t="shared" si="11"/>
        <v>Clive_2ND Follow-up on Mining Market Research Insights</v>
      </c>
    </row>
    <row r="338" spans="1:13" x14ac:dyDescent="0.25">
      <c r="A338" t="s">
        <v>2094</v>
      </c>
      <c r="B338" t="s">
        <v>2095</v>
      </c>
      <c r="C338" t="s">
        <v>10</v>
      </c>
      <c r="D338" t="s">
        <v>2096</v>
      </c>
      <c r="E338" t="s">
        <v>131</v>
      </c>
      <c r="F338" t="s">
        <v>1</v>
      </c>
      <c r="G338" t="s">
        <v>2097</v>
      </c>
      <c r="H338" t="s">
        <v>1</v>
      </c>
      <c r="I338" t="s">
        <v>1</v>
      </c>
      <c r="J338" t="s">
        <v>2098</v>
      </c>
      <c r="K338" t="s">
        <v>2</v>
      </c>
      <c r="L338" t="str">
        <f t="shared" si="10"/>
        <v>Critical Analysis: Mohammad_Market Intel Report Decodes Mining Dynamics!</v>
      </c>
      <c r="M338" t="str">
        <f t="shared" si="11"/>
        <v>Mohammad_2ND Follow-up on Mining Market Research Insights</v>
      </c>
    </row>
    <row r="339" spans="1:13" x14ac:dyDescent="0.25">
      <c r="A339" t="s">
        <v>2099</v>
      </c>
      <c r="B339" t="s">
        <v>2100</v>
      </c>
      <c r="C339" t="s">
        <v>2101</v>
      </c>
      <c r="D339" t="s">
        <v>2102</v>
      </c>
      <c r="E339" t="s">
        <v>2103</v>
      </c>
      <c r="F339" t="s">
        <v>1</v>
      </c>
      <c r="G339" t="s">
        <v>16</v>
      </c>
      <c r="H339" t="s">
        <v>1</v>
      </c>
      <c r="I339" t="s">
        <v>1</v>
      </c>
      <c r="J339" t="s">
        <v>2104</v>
      </c>
      <c r="K339" t="s">
        <v>2</v>
      </c>
      <c r="L339" t="str">
        <f t="shared" si="10"/>
        <v>Critical Analysis: Joana_Market Intel Report Decodes Mining Dynamics!</v>
      </c>
      <c r="M339" t="str">
        <f t="shared" si="11"/>
        <v>Joana_2ND Follow-up on Mining Market Research Insights</v>
      </c>
    </row>
    <row r="340" spans="1:13" x14ac:dyDescent="0.25">
      <c r="A340" t="s">
        <v>2105</v>
      </c>
      <c r="B340" t="s">
        <v>2106</v>
      </c>
      <c r="C340" t="s">
        <v>2107</v>
      </c>
      <c r="D340" t="s">
        <v>2108</v>
      </c>
      <c r="E340" t="s">
        <v>2109</v>
      </c>
      <c r="F340" t="s">
        <v>1</v>
      </c>
      <c r="G340" t="s">
        <v>2110</v>
      </c>
      <c r="H340" t="s">
        <v>1</v>
      </c>
      <c r="I340" t="s">
        <v>1</v>
      </c>
      <c r="J340" t="s">
        <v>2111</v>
      </c>
      <c r="K340" t="s">
        <v>2</v>
      </c>
      <c r="L340" t="str">
        <f t="shared" si="10"/>
        <v>Critical Analysis: Ehsan_Market Intel Report Decodes Mining Dynamics!</v>
      </c>
      <c r="M340" t="str">
        <f t="shared" si="11"/>
        <v>Ehsan_2ND Follow-up on Mining Market Research Insights</v>
      </c>
    </row>
    <row r="341" spans="1:13" x14ac:dyDescent="0.25">
      <c r="A341" t="s">
        <v>871</v>
      </c>
      <c r="B341" t="s">
        <v>2112</v>
      </c>
      <c r="C341" t="s">
        <v>597</v>
      </c>
      <c r="D341" t="s">
        <v>2113</v>
      </c>
      <c r="E341" t="s">
        <v>2114</v>
      </c>
      <c r="F341" t="s">
        <v>1</v>
      </c>
      <c r="G341" t="s">
        <v>2115</v>
      </c>
      <c r="H341" t="s">
        <v>1</v>
      </c>
      <c r="I341" t="s">
        <v>1</v>
      </c>
      <c r="J341" t="s">
        <v>2116</v>
      </c>
      <c r="K341" t="s">
        <v>2</v>
      </c>
      <c r="L341" t="str">
        <f t="shared" si="10"/>
        <v>Critical Analysis: Anderson_Market Intel Report Decodes Mining Dynamics!</v>
      </c>
      <c r="M341" t="str">
        <f t="shared" si="11"/>
        <v>Anderson_2ND Follow-up on Mining Market Research Insights</v>
      </c>
    </row>
    <row r="342" spans="1:13" x14ac:dyDescent="0.25">
      <c r="A342" t="s">
        <v>2117</v>
      </c>
      <c r="B342" t="s">
        <v>2118</v>
      </c>
      <c r="C342" t="s">
        <v>846</v>
      </c>
      <c r="D342" t="s">
        <v>2119</v>
      </c>
      <c r="E342" t="s">
        <v>2120</v>
      </c>
      <c r="F342" t="s">
        <v>1</v>
      </c>
      <c r="G342" t="s">
        <v>2121</v>
      </c>
      <c r="H342" t="s">
        <v>1</v>
      </c>
      <c r="I342" t="s">
        <v>1</v>
      </c>
      <c r="J342" t="s">
        <v>2122</v>
      </c>
      <c r="K342" t="s">
        <v>2</v>
      </c>
      <c r="L342" t="str">
        <f t="shared" si="10"/>
        <v>Critical Analysis: Alan_Market Intel Report Decodes Mining Dynamics!</v>
      </c>
      <c r="M342" t="str">
        <f t="shared" si="11"/>
        <v>Alan_2ND Follow-up on Mining Market Research Insights</v>
      </c>
    </row>
    <row r="343" spans="1:13" x14ac:dyDescent="0.25">
      <c r="A343" t="s">
        <v>2123</v>
      </c>
      <c r="B343" t="s">
        <v>2124</v>
      </c>
      <c r="C343" t="s">
        <v>53</v>
      </c>
      <c r="D343" t="s">
        <v>2125</v>
      </c>
      <c r="E343" t="s">
        <v>2126</v>
      </c>
      <c r="F343" t="s">
        <v>1</v>
      </c>
      <c r="G343" t="s">
        <v>16</v>
      </c>
      <c r="H343" t="s">
        <v>1</v>
      </c>
      <c r="I343" t="s">
        <v>1</v>
      </c>
      <c r="J343" t="s">
        <v>2127</v>
      </c>
      <c r="K343" t="s">
        <v>2</v>
      </c>
      <c r="L343" t="str">
        <f t="shared" si="10"/>
        <v>Critical Analysis: Karl-Heinz_Market Intel Report Decodes Mining Dynamics!</v>
      </c>
      <c r="M343" t="str">
        <f t="shared" si="11"/>
        <v>Karl-Heinz_2ND Follow-up on Mining Market Research Insights</v>
      </c>
    </row>
    <row r="344" spans="1:13" x14ac:dyDescent="0.25">
      <c r="A344" t="s">
        <v>2128</v>
      </c>
      <c r="B344" t="s">
        <v>2129</v>
      </c>
      <c r="C344" t="s">
        <v>597</v>
      </c>
      <c r="D344" t="s">
        <v>2130</v>
      </c>
      <c r="E344" t="s">
        <v>2131</v>
      </c>
      <c r="F344" t="s">
        <v>1</v>
      </c>
      <c r="G344" t="s">
        <v>16</v>
      </c>
      <c r="H344" t="s">
        <v>1</v>
      </c>
      <c r="I344" t="s">
        <v>1</v>
      </c>
      <c r="J344" t="s">
        <v>2132</v>
      </c>
      <c r="K344" t="s">
        <v>2</v>
      </c>
      <c r="L344" t="str">
        <f t="shared" si="10"/>
        <v>Critical Analysis: Oguz_Market Intel Report Decodes Mining Dynamics!</v>
      </c>
      <c r="M344" t="str">
        <f t="shared" si="11"/>
        <v>Oguz_2ND Follow-up on Mining Market Research Insights</v>
      </c>
    </row>
    <row r="345" spans="1:13" x14ac:dyDescent="0.25">
      <c r="A345" t="s">
        <v>2133</v>
      </c>
      <c r="B345" t="s">
        <v>2134</v>
      </c>
      <c r="C345" t="s">
        <v>2135</v>
      </c>
      <c r="D345" t="s">
        <v>2136</v>
      </c>
      <c r="E345" t="s">
        <v>1570</v>
      </c>
      <c r="F345" t="s">
        <v>1</v>
      </c>
      <c r="G345" t="s">
        <v>2137</v>
      </c>
      <c r="H345" t="s">
        <v>1</v>
      </c>
      <c r="I345" t="s">
        <v>1</v>
      </c>
      <c r="J345" t="s">
        <v>2138</v>
      </c>
      <c r="K345" t="s">
        <v>2</v>
      </c>
      <c r="L345" t="str">
        <f t="shared" si="10"/>
        <v>Critical Analysis: Nataliia_Market Intel Report Decodes Mining Dynamics!</v>
      </c>
      <c r="M345" t="str">
        <f t="shared" si="11"/>
        <v>Nataliia_2ND Follow-up on Mining Market Research Insights</v>
      </c>
    </row>
    <row r="346" spans="1:13" x14ac:dyDescent="0.25">
      <c r="A346" t="s">
        <v>2139</v>
      </c>
      <c r="B346" t="s">
        <v>2140</v>
      </c>
      <c r="C346" t="s">
        <v>976</v>
      </c>
      <c r="D346" t="s">
        <v>2141</v>
      </c>
      <c r="E346" t="s">
        <v>352</v>
      </c>
      <c r="F346" t="s">
        <v>1</v>
      </c>
      <c r="G346" t="s">
        <v>2142</v>
      </c>
      <c r="H346" t="s">
        <v>1</v>
      </c>
      <c r="I346" t="s">
        <v>1</v>
      </c>
      <c r="J346" t="s">
        <v>2143</v>
      </c>
      <c r="K346" t="s">
        <v>2</v>
      </c>
      <c r="L346" t="str">
        <f t="shared" si="10"/>
        <v>Critical Analysis: Fiore_Market Intel Report Decodes Mining Dynamics!</v>
      </c>
      <c r="M346" t="str">
        <f t="shared" si="11"/>
        <v>Fiore_2ND Follow-up on Mining Market Research Insights</v>
      </c>
    </row>
    <row r="347" spans="1:13" x14ac:dyDescent="0.25">
      <c r="A347" t="s">
        <v>2144</v>
      </c>
      <c r="B347" t="s">
        <v>2145</v>
      </c>
      <c r="C347" t="s">
        <v>10</v>
      </c>
      <c r="D347" t="s">
        <v>2146</v>
      </c>
      <c r="E347" t="s">
        <v>2147</v>
      </c>
      <c r="F347" t="s">
        <v>1</v>
      </c>
      <c r="G347" t="s">
        <v>16</v>
      </c>
      <c r="H347" t="s">
        <v>1</v>
      </c>
      <c r="I347" t="s">
        <v>1</v>
      </c>
      <c r="J347" t="s">
        <v>2148</v>
      </c>
      <c r="K347" t="s">
        <v>2</v>
      </c>
      <c r="L347" t="str">
        <f t="shared" si="10"/>
        <v>Critical Analysis: Phil_Market Intel Report Decodes Mining Dynamics!</v>
      </c>
      <c r="M347" t="str">
        <f t="shared" si="11"/>
        <v>Phil_2ND Follow-up on Mining Market Research Insights</v>
      </c>
    </row>
    <row r="348" spans="1:13" x14ac:dyDescent="0.25">
      <c r="A348" t="s">
        <v>1303</v>
      </c>
      <c r="B348" t="s">
        <v>963</v>
      </c>
      <c r="C348" t="s">
        <v>33</v>
      </c>
      <c r="D348" t="s">
        <v>2149</v>
      </c>
      <c r="E348" t="s">
        <v>592</v>
      </c>
      <c r="F348" t="s">
        <v>1</v>
      </c>
      <c r="G348" t="s">
        <v>16</v>
      </c>
      <c r="H348" t="s">
        <v>1</v>
      </c>
      <c r="I348" t="s">
        <v>1</v>
      </c>
      <c r="J348" t="s">
        <v>2150</v>
      </c>
      <c r="K348" t="s">
        <v>2</v>
      </c>
      <c r="L348" t="str">
        <f t="shared" si="10"/>
        <v>Critical Analysis: Jim_Market Intel Report Decodes Mining Dynamics!</v>
      </c>
      <c r="M348" t="str">
        <f t="shared" si="11"/>
        <v>Jim_2ND Follow-up on Mining Market Research Insights</v>
      </c>
    </row>
    <row r="349" spans="1:13" x14ac:dyDescent="0.25">
      <c r="A349" t="s">
        <v>2151</v>
      </c>
      <c r="B349" t="s">
        <v>2152</v>
      </c>
      <c r="C349" t="s">
        <v>113</v>
      </c>
      <c r="D349" t="s">
        <v>2153</v>
      </c>
      <c r="E349" t="s">
        <v>2154</v>
      </c>
      <c r="F349" t="s">
        <v>2155</v>
      </c>
      <c r="G349" t="s">
        <v>16</v>
      </c>
      <c r="H349" t="s">
        <v>196</v>
      </c>
      <c r="I349" t="s">
        <v>2156</v>
      </c>
      <c r="J349" t="s">
        <v>2157</v>
      </c>
      <c r="K349" t="s">
        <v>2</v>
      </c>
      <c r="L349" t="str">
        <f t="shared" si="10"/>
        <v>Critical Analysis: Felipe_Market Intel Report Decodes Mining Dynamics!</v>
      </c>
      <c r="M349" t="str">
        <f t="shared" si="11"/>
        <v>Felipe_2ND Follow-up on Mining Market Research Insights</v>
      </c>
    </row>
    <row r="350" spans="1:13" x14ac:dyDescent="0.25">
      <c r="A350" t="s">
        <v>2158</v>
      </c>
      <c r="B350" t="s">
        <v>2159</v>
      </c>
      <c r="C350" t="s">
        <v>10</v>
      </c>
      <c r="D350" t="s">
        <v>2160</v>
      </c>
      <c r="E350" t="s">
        <v>2161</v>
      </c>
      <c r="F350" t="s">
        <v>447</v>
      </c>
      <c r="G350" t="s">
        <v>16</v>
      </c>
      <c r="H350" t="s">
        <v>196</v>
      </c>
      <c r="I350" t="s">
        <v>2162</v>
      </c>
      <c r="J350" t="s">
        <v>2163</v>
      </c>
      <c r="K350" t="s">
        <v>2</v>
      </c>
      <c r="L350" t="str">
        <f t="shared" si="10"/>
        <v>Critical Analysis: Moacyr_Market Intel Report Decodes Mining Dynamics!</v>
      </c>
      <c r="M350" t="str">
        <f t="shared" si="11"/>
        <v>Moacyr_2ND Follow-up on Mining Market Research Insights</v>
      </c>
    </row>
    <row r="351" spans="1:13" x14ac:dyDescent="0.25">
      <c r="A351" t="s">
        <v>2164</v>
      </c>
      <c r="B351" t="s">
        <v>2165</v>
      </c>
      <c r="C351" t="s">
        <v>26</v>
      </c>
      <c r="D351" t="s">
        <v>2166</v>
      </c>
      <c r="E351" t="s">
        <v>308</v>
      </c>
      <c r="F351" t="s">
        <v>203</v>
      </c>
      <c r="G351" t="s">
        <v>2167</v>
      </c>
      <c r="H351" t="s">
        <v>196</v>
      </c>
      <c r="I351" t="s">
        <v>2168</v>
      </c>
      <c r="J351" t="s">
        <v>2169</v>
      </c>
      <c r="K351" t="s">
        <v>2</v>
      </c>
      <c r="L351" t="str">
        <f t="shared" si="10"/>
        <v>Critical Analysis: Gavin_Market Intel Report Decodes Mining Dynamics!</v>
      </c>
      <c r="M351" t="str">
        <f t="shared" si="11"/>
        <v>Gavin_2ND Follow-up on Mining Market Research Insights</v>
      </c>
    </row>
    <row r="352" spans="1:13" x14ac:dyDescent="0.25">
      <c r="A352" t="s">
        <v>2170</v>
      </c>
      <c r="B352" t="s">
        <v>2171</v>
      </c>
      <c r="C352" t="s">
        <v>1086</v>
      </c>
      <c r="D352" t="s">
        <v>224</v>
      </c>
      <c r="E352" t="s">
        <v>669</v>
      </c>
      <c r="F352" t="s">
        <v>226</v>
      </c>
      <c r="G352" t="s">
        <v>227</v>
      </c>
      <c r="H352" t="s">
        <v>196</v>
      </c>
      <c r="I352" t="s">
        <v>228</v>
      </c>
      <c r="J352" t="s">
        <v>2172</v>
      </c>
      <c r="K352" t="s">
        <v>2</v>
      </c>
      <c r="L352" t="str">
        <f t="shared" si="10"/>
        <v>Critical Analysis: Uxia_Market Intel Report Decodes Mining Dynamics!</v>
      </c>
      <c r="M352" t="str">
        <f t="shared" si="11"/>
        <v>Uxia_2ND Follow-up on Mining Market Research Insights</v>
      </c>
    </row>
    <row r="353" spans="1:13" x14ac:dyDescent="0.25">
      <c r="A353" t="s">
        <v>2173</v>
      </c>
      <c r="B353" t="s">
        <v>1968</v>
      </c>
      <c r="C353" t="s">
        <v>10</v>
      </c>
      <c r="D353" t="s">
        <v>2174</v>
      </c>
      <c r="E353" t="s">
        <v>2175</v>
      </c>
      <c r="F353" t="s">
        <v>867</v>
      </c>
      <c r="G353" t="s">
        <v>2176</v>
      </c>
      <c r="H353" t="s">
        <v>353</v>
      </c>
      <c r="I353" t="s">
        <v>2177</v>
      </c>
      <c r="J353" t="s">
        <v>2178</v>
      </c>
      <c r="K353" t="s">
        <v>2</v>
      </c>
      <c r="L353" t="str">
        <f t="shared" si="10"/>
        <v>Critical Analysis: Brandon_Market Intel Report Decodes Mining Dynamics!</v>
      </c>
      <c r="M353" t="str">
        <f t="shared" si="11"/>
        <v>Brandon_2ND Follow-up on Mining Market Research Insights</v>
      </c>
    </row>
    <row r="354" spans="1:13" x14ac:dyDescent="0.25">
      <c r="A354" t="s">
        <v>2179</v>
      </c>
      <c r="B354" t="s">
        <v>2180</v>
      </c>
      <c r="C354" t="s">
        <v>53</v>
      </c>
      <c r="D354" t="s">
        <v>2181</v>
      </c>
      <c r="E354" t="s">
        <v>2182</v>
      </c>
      <c r="F354" t="s">
        <v>447</v>
      </c>
      <c r="G354" t="s">
        <v>2183</v>
      </c>
      <c r="H354" t="s">
        <v>196</v>
      </c>
      <c r="I354" t="s">
        <v>2184</v>
      </c>
      <c r="J354" t="s">
        <v>2185</v>
      </c>
      <c r="K354" t="s">
        <v>2</v>
      </c>
      <c r="L354" t="str">
        <f t="shared" si="10"/>
        <v>Critical Analysis: Jarno_Market Intel Report Decodes Mining Dynamics!</v>
      </c>
      <c r="M354" t="str">
        <f t="shared" si="11"/>
        <v>Jarno_2ND Follow-up on Mining Market Research Insights</v>
      </c>
    </row>
    <row r="355" spans="1:13" x14ac:dyDescent="0.25">
      <c r="A355" t="s">
        <v>2186</v>
      </c>
      <c r="B355" t="s">
        <v>2187</v>
      </c>
      <c r="C355" t="s">
        <v>33</v>
      </c>
      <c r="D355" t="s">
        <v>2188</v>
      </c>
      <c r="E355" t="s">
        <v>15</v>
      </c>
      <c r="F355" t="s">
        <v>232</v>
      </c>
      <c r="G355" t="s">
        <v>2189</v>
      </c>
      <c r="H355" t="s">
        <v>196</v>
      </c>
      <c r="I355" t="s">
        <v>1</v>
      </c>
      <c r="J355" t="s">
        <v>2190</v>
      </c>
      <c r="K355" t="s">
        <v>2</v>
      </c>
      <c r="L355" t="str">
        <f t="shared" si="10"/>
        <v>Critical Analysis: Neil_Market Intel Report Decodes Mining Dynamics!</v>
      </c>
      <c r="M355" t="str">
        <f t="shared" si="11"/>
        <v>Neil_2ND Follow-up on Mining Market Research Insights</v>
      </c>
    </row>
    <row r="356" spans="1:13" x14ac:dyDescent="0.25">
      <c r="A356" t="s">
        <v>2191</v>
      </c>
      <c r="B356" t="s">
        <v>2192</v>
      </c>
      <c r="C356" t="s">
        <v>2193</v>
      </c>
      <c r="D356" t="s">
        <v>2194</v>
      </c>
      <c r="E356" t="s">
        <v>68</v>
      </c>
      <c r="F356" t="s">
        <v>1268</v>
      </c>
      <c r="G356" t="s">
        <v>2195</v>
      </c>
      <c r="H356" t="s">
        <v>196</v>
      </c>
      <c r="I356" t="s">
        <v>2196</v>
      </c>
      <c r="J356" t="s">
        <v>2197</v>
      </c>
      <c r="K356" t="s">
        <v>2</v>
      </c>
      <c r="L356" t="str">
        <f t="shared" si="10"/>
        <v>Critical Analysis: Rabab_Market Intel Report Decodes Mining Dynamics!</v>
      </c>
      <c r="M356" t="str">
        <f t="shared" si="11"/>
        <v>Rabab_2ND Follow-up on Mining Market Research Insights</v>
      </c>
    </row>
    <row r="357" spans="1:13" x14ac:dyDescent="0.25">
      <c r="A357" t="s">
        <v>2198</v>
      </c>
      <c r="B357" t="s">
        <v>2199</v>
      </c>
      <c r="C357" t="s">
        <v>1</v>
      </c>
      <c r="D357" t="s">
        <v>2200</v>
      </c>
      <c r="E357" t="s">
        <v>2201</v>
      </c>
      <c r="F357" t="s">
        <v>2202</v>
      </c>
      <c r="G357" t="s">
        <v>2203</v>
      </c>
      <c r="H357" t="s">
        <v>196</v>
      </c>
      <c r="I357" t="s">
        <v>2204</v>
      </c>
      <c r="J357" t="s">
        <v>2205</v>
      </c>
      <c r="K357" t="s">
        <v>2</v>
      </c>
      <c r="L357" t="str">
        <f t="shared" si="10"/>
        <v>Critical Analysis: Sylvain_Market Intel Report Decodes Mining Dynamics!</v>
      </c>
      <c r="M357" t="str">
        <f t="shared" si="11"/>
        <v>Sylvain_2ND Follow-up on Mining Market Research Insights</v>
      </c>
    </row>
    <row r="358" spans="1:13" x14ac:dyDescent="0.25">
      <c r="A358" t="s">
        <v>1504</v>
      </c>
      <c r="B358" t="s">
        <v>2206</v>
      </c>
      <c r="C358" t="s">
        <v>1974</v>
      </c>
      <c r="D358" t="s">
        <v>2207</v>
      </c>
      <c r="E358" t="s">
        <v>2208</v>
      </c>
      <c r="F358" t="s">
        <v>1229</v>
      </c>
      <c r="G358" t="s">
        <v>16</v>
      </c>
      <c r="H358" t="s">
        <v>196</v>
      </c>
      <c r="I358" t="s">
        <v>2209</v>
      </c>
      <c r="J358" t="s">
        <v>2210</v>
      </c>
      <c r="K358" t="s">
        <v>2</v>
      </c>
      <c r="L358" t="str">
        <f t="shared" si="10"/>
        <v>Critical Analysis: Niklas_Market Intel Report Decodes Mining Dynamics!</v>
      </c>
      <c r="M358" t="str">
        <f t="shared" si="11"/>
        <v>Niklas_2ND Follow-up on Mining Market Research Insights</v>
      </c>
    </row>
    <row r="359" spans="1:13" x14ac:dyDescent="0.25">
      <c r="A359" t="s">
        <v>2211</v>
      </c>
      <c r="B359" t="s">
        <v>2085</v>
      </c>
      <c r="C359" t="s">
        <v>2212</v>
      </c>
      <c r="D359" t="s">
        <v>101</v>
      </c>
      <c r="E359" t="s">
        <v>2213</v>
      </c>
      <c r="F359" t="s">
        <v>2214</v>
      </c>
      <c r="G359" t="s">
        <v>103</v>
      </c>
      <c r="H359" t="s">
        <v>196</v>
      </c>
      <c r="I359" t="s">
        <v>2215</v>
      </c>
      <c r="J359" t="s">
        <v>2216</v>
      </c>
      <c r="K359" t="s">
        <v>2</v>
      </c>
      <c r="L359" t="str">
        <f t="shared" si="10"/>
        <v>Critical Analysis: Cristiano_Market Intel Report Decodes Mining Dynamics!</v>
      </c>
      <c r="M359" t="str">
        <f t="shared" si="11"/>
        <v>Cristiano_2ND Follow-up on Mining Market Research Insights</v>
      </c>
    </row>
  </sheetData>
  <sortState xmlns:xlrd2="http://schemas.microsoft.com/office/spreadsheetml/2017/richdata2" ref="A1:M359">
    <sortCondition sortBy="cellColor" ref="J1:J359"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2024-01-30T17:03:03Z</dcterms:created>
  <dcterms:modified xsi:type="dcterms:W3CDTF">2024-02-21T14:35:59Z</dcterms:modified>
</cp:coreProperties>
</file>